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polimi365.sharepoint.com/sites/documentale-DENG/grupporelab/02_Progetti/AREA LCA/Kevin/PhD/aa20232024/03_Sviluppo/Nuovo modello/FINALE/bw/"/>
    </mc:Choice>
  </mc:AlternateContent>
  <xr:revisionPtr revIDLastSave="5249" documentId="8_{B5C4C87B-B885-4765-815F-499382E479A5}" xr6:coauthVersionLast="47" xr6:coauthVersionMax="47" xr10:uidLastSave="{322FC43B-C8EC-4109-A0BB-C149FE0AC7AC}"/>
  <bookViews>
    <workbookView xWindow="-120" yWindow="-16320" windowWidth="29040" windowHeight="15720" tabRatio="869" xr2:uid="{76F53ECF-AA71-4DC4-BA4C-113A788921EA}"/>
  </bookViews>
  <sheets>
    <sheet name="generatorsConfig" sheetId="4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2" l="1"/>
  <c r="B28" i="42"/>
</calcChain>
</file>

<file path=xl/sharedStrings.xml><?xml version="1.0" encoding="utf-8"?>
<sst xmlns="http://schemas.openxmlformats.org/spreadsheetml/2006/main" count="74" uniqueCount="68">
  <si>
    <t>Information</t>
  </si>
  <si>
    <t>Data</t>
  </si>
  <si>
    <t>Note</t>
  </si>
  <si>
    <t>Insert lifespan in years</t>
  </si>
  <si>
    <t>Diameter of the pipes [m]</t>
  </si>
  <si>
    <t>Pipe typology</t>
  </si>
  <si>
    <t>Number of users</t>
  </si>
  <si>
    <t>Insert number of users</t>
  </si>
  <si>
    <t>Terminal typology</t>
  </si>
  <si>
    <t xml:space="preserve">Choose between the different </t>
  </si>
  <si>
    <t>Insert number of appliances</t>
  </si>
  <si>
    <t>Fuel oil boiler</t>
  </si>
  <si>
    <t>Biomass boiler</t>
  </si>
  <si>
    <t>Concrete thermal storage</t>
  </si>
  <si>
    <t>Steel thermal storage</t>
  </si>
  <si>
    <t>3rd generation</t>
  </si>
  <si>
    <t>(Automatic cell)</t>
  </si>
  <si>
    <t>Insert value in m or let it empty</t>
  </si>
  <si>
    <t>Default</t>
  </si>
  <si>
    <t>Steel - rockwool - stainless steel</t>
  </si>
  <si>
    <t>Heat recovery</t>
  </si>
  <si>
    <t>Boiler</t>
  </si>
  <si>
    <t>Geothermal plant</t>
  </si>
  <si>
    <t>ENERGY SYSTEMS</t>
  </si>
  <si>
    <t>ELECTRICITY INPUT GENERATION</t>
  </si>
  <si>
    <t>END USERS INFORMATION</t>
  </si>
  <si>
    <t>Reference scenario year</t>
  </si>
  <si>
    <t>District Heating and Cooling typology</t>
  </si>
  <si>
    <t>Length pipes [km]</t>
  </si>
  <si>
    <t xml:space="preserve">According to ISO 14044 and UNIEN 15316:2017 </t>
  </si>
  <si>
    <t>High temperature terminals</t>
  </si>
  <si>
    <t>Number of users Domestic Hot Water</t>
  </si>
  <si>
    <t xml:space="preserve">Choose among the options </t>
  </si>
  <si>
    <t>National Grid</t>
  </si>
  <si>
    <t>Photovoltaic system</t>
  </si>
  <si>
    <t>Renewable Energy Certificates</t>
  </si>
  <si>
    <t>Electric Heat Pump</t>
  </si>
  <si>
    <t>Gas Engine Heat Pump</t>
  </si>
  <si>
    <t>Solar thermal system</t>
  </si>
  <si>
    <t>Cooling - Cooling tower</t>
  </si>
  <si>
    <t>Cooling - Absorption chiller</t>
  </si>
  <si>
    <t>CHP-Internal Combustion Engine</t>
  </si>
  <si>
    <t>CHP-Combined Cycle</t>
  </si>
  <si>
    <t>CHP-Turbogas</t>
  </si>
  <si>
    <t>CHP-Organic Rankine Cycle</t>
  </si>
  <si>
    <t>CHP-Waste-to-Energy</t>
  </si>
  <si>
    <t>Reference External Temperature [°C]</t>
  </si>
  <si>
    <t>Life Cycle Assessment Multifunctionality approach</t>
  </si>
  <si>
    <t>Supply primary circuit Temperature [°C]</t>
  </si>
  <si>
    <t>Return primary circuit Temperature [°C]</t>
  </si>
  <si>
    <t>Insert the temperature in °C</t>
  </si>
  <si>
    <t>Insert the input value in km</t>
  </si>
  <si>
    <t>Insert the input value in m or select "Default"</t>
  </si>
  <si>
    <t>Distribution losses</t>
  </si>
  <si>
    <t>Insert input value between 0 and 1 (Default parameters: 0.15 for 3rd generation, 0.10 for 4th generation, 0 for 5th generation)</t>
  </si>
  <si>
    <t>Reference Study Period (RSP) [Year]</t>
  </si>
  <si>
    <t>Required Service Life (ReqSL) [Year]</t>
  </si>
  <si>
    <t>Insert the input value in MWh</t>
  </si>
  <si>
    <t>DO NOT MODIFY!!!!!</t>
  </si>
  <si>
    <t>Renewable Energy Certificates from Photovoltaic electricity production</t>
  </si>
  <si>
    <t>Renewable Energy Certificates from Hydroelectric electricity production</t>
  </si>
  <si>
    <t>Renewable Energy Certificates from Eolic electricity production</t>
  </si>
  <si>
    <t>Total thermal energy supplied to the end users [MWh]</t>
  </si>
  <si>
    <t>Cooling - Compression chiller</t>
  </si>
  <si>
    <t>Cooling - Dry cooler</t>
  </si>
  <si>
    <t>Gas Absorption Heat Pump</t>
  </si>
  <si>
    <t>Aim of the LCA analysis</t>
  </si>
  <si>
    <t>Heating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</si>
</sst>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0" tint="-0.499984740745262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2"/>
      <color rgb="FFC0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2" fontId="2" fillId="7" borderId="0" xfId="0" applyNumberFormat="1" applyFont="1" applyFill="1" applyAlignment="1">
      <alignment horizontal="center"/>
    </xf>
    <xf numFmtId="0" fontId="6" fillId="8" borderId="3" xfId="0" applyFont="1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27214</xdr:colOff>
          <xdr:row>33</xdr:row>
          <xdr:rowOff>97971</xdr:rowOff>
        </xdr:from>
        <xdr:to>
          <xdr:col>5</xdr:col>
          <xdr:colOff>560616</xdr:colOff>
          <xdr:row>34</xdr:row>
          <xdr:rowOff>92529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CANC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27214</xdr:colOff>
          <xdr:row>30</xdr:row>
          <xdr:rowOff>0</xdr:rowOff>
        </xdr:from>
        <xdr:to>
          <xdr:col>5</xdr:col>
          <xdr:colOff>571500</xdr:colOff>
          <xdr:row>32</xdr:row>
          <xdr:rowOff>27216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100851</xdr:colOff>
      <xdr:row>21</xdr:row>
      <xdr:rowOff>0</xdr:rowOff>
    </xdr:from>
    <xdr:to>
      <xdr:col>11</xdr:col>
      <xdr:colOff>593912</xdr:colOff>
      <xdr:row>28</xdr:row>
      <xdr:rowOff>112058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847A18-0379-90EA-2CDA-C1492F260AE3}"/>
            </a:ext>
          </a:extLst>
        </xdr:cNvPr>
        <xdr:cNvSpPr txBox="1"/>
      </xdr:nvSpPr>
      <xdr:spPr>
        <a:xfrm>
          <a:off x="15475322" y="4146176"/>
          <a:ext cx="5334002" cy="15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PLEASE</a:t>
          </a:r>
          <a:r>
            <a:rPr lang="en-US" sz="1600" b="1" baseline="0"/>
            <a:t> NOTE:</a:t>
          </a:r>
        </a:p>
        <a:p>
          <a:endParaRPr lang="en-US" sz="1600" b="1" baseline="0"/>
        </a:p>
        <a:p>
          <a:pPr algn="l"/>
          <a:r>
            <a:rPr lang="en-US" sz="1600" b="0"/>
            <a:t>Before entering new data in this sheet, you must click on CANC (below). Then enter the data and click on START to generate the sheets for the individual technologies.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36B3-F8DF-450A-932D-E1E8AA67A777}">
  <sheetPr codeName="Foglio30"/>
  <dimension ref="A1:C49"/>
  <sheetViews>
    <sheetView tabSelected="1" zoomScale="60" zoomScaleNormal="60" workbookViewId="0">
      <selection activeCell="B21" sqref="B21"/>
    </sheetView>
  </sheetViews>
  <sheetFormatPr defaultRowHeight="15.9" x14ac:dyDescent="0.45"/>
  <cols>
    <col min="1" max="1" width="62.3828125" style="1" bestFit="1" customWidth="1"/>
    <col min="2" max="2" width="40" style="1" customWidth="1"/>
    <col min="3" max="3" width="123.84375" style="1" customWidth="1"/>
  </cols>
  <sheetData>
    <row r="1" spans="1:3" ht="26.15" x14ac:dyDescent="0.7">
      <c r="A1" s="14" t="s">
        <v>0</v>
      </c>
      <c r="B1" s="15" t="s">
        <v>1</v>
      </c>
      <c r="C1" s="14" t="s">
        <v>2</v>
      </c>
    </row>
    <row r="2" spans="1:3" x14ac:dyDescent="0.45">
      <c r="A2" s="2" t="s">
        <v>66</v>
      </c>
      <c r="B2" s="11" t="s">
        <v>67</v>
      </c>
      <c r="C2" s="2" t="s">
        <v>32</v>
      </c>
    </row>
    <row r="3" spans="1:3" ht="14.9" customHeight="1" x14ac:dyDescent="0.45">
      <c r="A3" s="2" t="s">
        <v>26</v>
      </c>
      <c r="B3" s="11">
        <v>2025</v>
      </c>
      <c r="C3" s="2" t="s">
        <v>32</v>
      </c>
    </row>
    <row r="4" spans="1:3" x14ac:dyDescent="0.45">
      <c r="A4" s="2" t="s">
        <v>27</v>
      </c>
      <c r="B4" s="11" t="s">
        <v>15</v>
      </c>
      <c r="C4" s="2" t="s">
        <v>32</v>
      </c>
    </row>
    <row r="5" spans="1:3" x14ac:dyDescent="0.45">
      <c r="A5" s="2" t="s">
        <v>55</v>
      </c>
      <c r="B5" s="11">
        <v>60</v>
      </c>
      <c r="C5" s="2" t="s">
        <v>3</v>
      </c>
    </row>
    <row r="6" spans="1:3" x14ac:dyDescent="0.45">
      <c r="A6" s="2" t="s">
        <v>56</v>
      </c>
      <c r="B6" s="11">
        <v>50</v>
      </c>
      <c r="C6" s="2" t="s">
        <v>3</v>
      </c>
    </row>
    <row r="7" spans="1:3" x14ac:dyDescent="0.45">
      <c r="A7" s="2" t="s">
        <v>62</v>
      </c>
      <c r="B7" s="11">
        <v>66228</v>
      </c>
      <c r="C7" s="2" t="s">
        <v>57</v>
      </c>
    </row>
    <row r="8" spans="1:3" x14ac:dyDescent="0.45">
      <c r="A8" s="5" t="s">
        <v>4</v>
      </c>
      <c r="B8" s="9" t="s">
        <v>18</v>
      </c>
      <c r="C8" s="21" t="s">
        <v>52</v>
      </c>
    </row>
    <row r="9" spans="1:3" x14ac:dyDescent="0.45">
      <c r="A9" s="5" t="s">
        <v>17</v>
      </c>
      <c r="B9" s="9"/>
      <c r="C9" s="21"/>
    </row>
    <row r="10" spans="1:3" x14ac:dyDescent="0.45">
      <c r="A10" s="5" t="s">
        <v>16</v>
      </c>
      <c r="B10" s="9" t="str">
        <f>IF(B8="default", "Default", IF(B8="manual", B9))</f>
        <v>Default</v>
      </c>
      <c r="C10" s="21"/>
    </row>
    <row r="11" spans="1:3" x14ac:dyDescent="0.45">
      <c r="A11" s="4" t="s">
        <v>28</v>
      </c>
      <c r="B11" s="12">
        <v>0</v>
      </c>
      <c r="C11" s="8" t="s">
        <v>51</v>
      </c>
    </row>
    <row r="12" spans="1:3" x14ac:dyDescent="0.45">
      <c r="A12" s="4" t="s">
        <v>5</v>
      </c>
      <c r="B12" s="12" t="s">
        <v>19</v>
      </c>
      <c r="C12" s="4" t="s">
        <v>32</v>
      </c>
    </row>
    <row r="13" spans="1:3" x14ac:dyDescent="0.45">
      <c r="A13" s="4" t="s">
        <v>48</v>
      </c>
      <c r="B13" s="12">
        <v>0</v>
      </c>
      <c r="C13" s="25" t="s">
        <v>50</v>
      </c>
    </row>
    <row r="14" spans="1:3" x14ac:dyDescent="0.45">
      <c r="A14" s="4" t="s">
        <v>49</v>
      </c>
      <c r="B14" s="12">
        <v>0</v>
      </c>
      <c r="C14" s="25"/>
    </row>
    <row r="15" spans="1:3" x14ac:dyDescent="0.45">
      <c r="A15" s="4" t="s">
        <v>46</v>
      </c>
      <c r="B15" s="12">
        <v>0</v>
      </c>
      <c r="C15" s="25"/>
    </row>
    <row r="16" spans="1:3" x14ac:dyDescent="0.45">
      <c r="A16" s="4" t="s">
        <v>53</v>
      </c>
      <c r="B16" s="12">
        <v>0.15</v>
      </c>
      <c r="C16" s="4" t="s">
        <v>54</v>
      </c>
    </row>
    <row r="17" spans="1:3" x14ac:dyDescent="0.45">
      <c r="A17" s="6" t="s">
        <v>47</v>
      </c>
      <c r="B17" s="17" t="s">
        <v>18</v>
      </c>
      <c r="C17" s="6" t="s">
        <v>29</v>
      </c>
    </row>
    <row r="18" spans="1:3" x14ac:dyDescent="0.45">
      <c r="A18" s="19" t="s">
        <v>25</v>
      </c>
      <c r="B18" s="20"/>
      <c r="C18" s="26" t="s">
        <v>7</v>
      </c>
    </row>
    <row r="19" spans="1:3" x14ac:dyDescent="0.45">
      <c r="A19" s="2" t="s">
        <v>6</v>
      </c>
      <c r="B19" s="11">
        <v>0</v>
      </c>
      <c r="C19" s="26"/>
    </row>
    <row r="20" spans="1:3" x14ac:dyDescent="0.45">
      <c r="A20" s="2" t="s">
        <v>31</v>
      </c>
      <c r="B20" s="11">
        <v>0</v>
      </c>
      <c r="C20" s="26"/>
    </row>
    <row r="21" spans="1:3" x14ac:dyDescent="0.45">
      <c r="A21" s="2" t="s">
        <v>8</v>
      </c>
      <c r="B21" s="11" t="s">
        <v>30</v>
      </c>
      <c r="C21" s="2" t="s">
        <v>32</v>
      </c>
    </row>
    <row r="22" spans="1:3" x14ac:dyDescent="0.45">
      <c r="A22" s="18" t="s">
        <v>24</v>
      </c>
      <c r="B22" s="18"/>
      <c r="C22" s="24" t="s">
        <v>9</v>
      </c>
    </row>
    <row r="23" spans="1:3" x14ac:dyDescent="0.45">
      <c r="A23" s="7" t="s">
        <v>33</v>
      </c>
      <c r="B23" s="13">
        <v>1</v>
      </c>
      <c r="C23" s="24"/>
    </row>
    <row r="24" spans="1:3" x14ac:dyDescent="0.45">
      <c r="A24" s="7" t="s">
        <v>34</v>
      </c>
      <c r="B24" s="13">
        <v>0</v>
      </c>
      <c r="C24" s="24"/>
    </row>
    <row r="25" spans="1:3" x14ac:dyDescent="0.45">
      <c r="A25" s="7" t="s">
        <v>59</v>
      </c>
      <c r="B25" s="13">
        <v>0</v>
      </c>
      <c r="C25" s="24"/>
    </row>
    <row r="26" spans="1:3" x14ac:dyDescent="0.45">
      <c r="A26" s="7" t="s">
        <v>60</v>
      </c>
      <c r="B26" s="13">
        <v>0</v>
      </c>
      <c r="C26" s="24"/>
    </row>
    <row r="27" spans="1:3" x14ac:dyDescent="0.45">
      <c r="A27" s="7" t="s">
        <v>61</v>
      </c>
      <c r="B27" s="13">
        <v>0</v>
      </c>
      <c r="C27" s="24"/>
    </row>
    <row r="28" spans="1:3" x14ac:dyDescent="0.45">
      <c r="A28" s="3" t="s">
        <v>35</v>
      </c>
      <c r="B28" s="10">
        <f>IF((B25+B26+B27)&lt;=1,(B25+B26+B27),"ERRORE")</f>
        <v>0</v>
      </c>
      <c r="C28" s="16" t="s">
        <v>58</v>
      </c>
    </row>
    <row r="29" spans="1:3" x14ac:dyDescent="0.45">
      <c r="A29" s="22" t="s">
        <v>23</v>
      </c>
      <c r="B29" s="23"/>
      <c r="C29" s="27" t="s">
        <v>10</v>
      </c>
    </row>
    <row r="30" spans="1:3" x14ac:dyDescent="0.45">
      <c r="A30" s="5" t="s">
        <v>21</v>
      </c>
      <c r="B30" s="9">
        <v>0</v>
      </c>
      <c r="C30" s="27"/>
    </row>
    <row r="31" spans="1:3" x14ac:dyDescent="0.45">
      <c r="A31" s="5" t="s">
        <v>11</v>
      </c>
      <c r="B31" s="9">
        <v>0</v>
      </c>
      <c r="C31" s="27"/>
    </row>
    <row r="32" spans="1:3" x14ac:dyDescent="0.45">
      <c r="A32" s="5" t="s">
        <v>12</v>
      </c>
      <c r="B32" s="9">
        <v>0</v>
      </c>
      <c r="C32" s="27"/>
    </row>
    <row r="33" spans="1:3" x14ac:dyDescent="0.45">
      <c r="A33" s="5" t="s">
        <v>41</v>
      </c>
      <c r="B33" s="9">
        <v>0</v>
      </c>
      <c r="C33" s="27"/>
    </row>
    <row r="34" spans="1:3" x14ac:dyDescent="0.45">
      <c r="A34" s="5" t="s">
        <v>42</v>
      </c>
      <c r="B34" s="9">
        <v>0</v>
      </c>
      <c r="C34" s="27"/>
    </row>
    <row r="35" spans="1:3" x14ac:dyDescent="0.45">
      <c r="A35" s="5" t="s">
        <v>43</v>
      </c>
      <c r="B35" s="9">
        <v>0</v>
      </c>
      <c r="C35" s="27"/>
    </row>
    <row r="36" spans="1:3" x14ac:dyDescent="0.45">
      <c r="A36" s="5" t="s">
        <v>44</v>
      </c>
      <c r="B36" s="9">
        <v>0</v>
      </c>
      <c r="C36" s="27"/>
    </row>
    <row r="37" spans="1:3" x14ac:dyDescent="0.45">
      <c r="A37" s="5" t="s">
        <v>45</v>
      </c>
      <c r="B37" s="9">
        <v>0</v>
      </c>
      <c r="C37" s="27"/>
    </row>
    <row r="38" spans="1:3" x14ac:dyDescent="0.45">
      <c r="A38" s="5" t="s">
        <v>36</v>
      </c>
      <c r="B38" s="9">
        <v>0</v>
      </c>
      <c r="C38" s="27"/>
    </row>
    <row r="39" spans="1:3" x14ac:dyDescent="0.45">
      <c r="A39" s="5" t="s">
        <v>65</v>
      </c>
      <c r="B39" s="9">
        <v>0</v>
      </c>
      <c r="C39" s="27"/>
    </row>
    <row r="40" spans="1:3" x14ac:dyDescent="0.45">
      <c r="A40" s="5" t="s">
        <v>37</v>
      </c>
      <c r="B40" s="9">
        <v>0</v>
      </c>
      <c r="C40" s="27"/>
    </row>
    <row r="41" spans="1:3" x14ac:dyDescent="0.45">
      <c r="A41" s="5" t="s">
        <v>22</v>
      </c>
      <c r="B41" s="9">
        <v>0</v>
      </c>
      <c r="C41" s="27"/>
    </row>
    <row r="42" spans="1:3" x14ac:dyDescent="0.45">
      <c r="A42" s="5" t="s">
        <v>38</v>
      </c>
      <c r="B42" s="9">
        <v>0</v>
      </c>
      <c r="C42" s="27"/>
    </row>
    <row r="43" spans="1:3" x14ac:dyDescent="0.45">
      <c r="A43" s="5" t="s">
        <v>13</v>
      </c>
      <c r="B43" s="9">
        <v>0</v>
      </c>
      <c r="C43" s="27"/>
    </row>
    <row r="44" spans="1:3" x14ac:dyDescent="0.45">
      <c r="A44" s="5" t="s">
        <v>14</v>
      </c>
      <c r="B44" s="9">
        <v>0</v>
      </c>
      <c r="C44" s="27"/>
    </row>
    <row r="45" spans="1:3" x14ac:dyDescent="0.45">
      <c r="A45" s="5" t="s">
        <v>20</v>
      </c>
      <c r="B45" s="9">
        <v>0</v>
      </c>
      <c r="C45" s="27"/>
    </row>
    <row r="46" spans="1:3" x14ac:dyDescent="0.45">
      <c r="A46" s="5" t="s">
        <v>39</v>
      </c>
      <c r="B46" s="9">
        <v>0</v>
      </c>
      <c r="C46" s="27"/>
    </row>
    <row r="47" spans="1:3" x14ac:dyDescent="0.45">
      <c r="A47" s="5" t="s">
        <v>40</v>
      </c>
      <c r="B47" s="9">
        <v>0</v>
      </c>
      <c r="C47" s="27"/>
    </row>
    <row r="48" spans="1:3" x14ac:dyDescent="0.45">
      <c r="A48" s="5" t="s">
        <v>63</v>
      </c>
      <c r="B48" s="9">
        <v>0</v>
      </c>
      <c r="C48" s="27"/>
    </row>
    <row r="49" spans="1:3" x14ac:dyDescent="0.45">
      <c r="A49" s="5" t="s">
        <v>64</v>
      </c>
      <c r="B49" s="9">
        <v>0</v>
      </c>
      <c r="C49" s="27"/>
    </row>
  </sheetData>
  <mergeCells count="8">
    <mergeCell ref="A22:B22"/>
    <mergeCell ref="A18:B18"/>
    <mergeCell ref="C8:C10"/>
    <mergeCell ref="A29:B29"/>
    <mergeCell ref="C22:C27"/>
    <mergeCell ref="C13:C15"/>
    <mergeCell ref="C18:C20"/>
    <mergeCell ref="C29:C49"/>
  </mergeCells>
  <dataValidations count="7">
    <dataValidation type="list" allowBlank="1" showInputMessage="1" showErrorMessage="1" sqref="B3" xr:uid="{A2E27561-880F-4C2D-A510-906490609365}">
      <formula1>"2025, 2030, 2035, 2040, 2050"</formula1>
    </dataValidation>
    <dataValidation type="list" allowBlank="1" showInputMessage="1" showErrorMessage="1" sqref="B4" xr:uid="{132208C2-8D11-4765-9A2E-C83CEFD08AB5}">
      <formula1>"3rd generation,4th generation,5th generation"</formula1>
    </dataValidation>
    <dataValidation type="list" allowBlank="1" showInputMessage="1" showErrorMessage="1" sqref="B17" xr:uid="{2A6891D1-B2DA-4F78-A3DB-3C8A5B54267E}">
      <formula1>"Default, Power bonus method"</formula1>
    </dataValidation>
    <dataValidation type="list" allowBlank="1" showInputMessage="1" showErrorMessage="1" sqref="B12" xr:uid="{9572888D-A0B5-4A5D-99BD-9629DC09B4B7}">
      <formula1>"Steel - rockwool - stainless steel, Steel - PU foam - PEHD, PE - PE foam - PEHD, PE - PU foam - PEHD, PP - PU foam - PVC"</formula1>
    </dataValidation>
    <dataValidation type="list" allowBlank="1" showInputMessage="1" showErrorMessage="1" sqref="B21" xr:uid="{521BB799-2D0E-47A6-AB98-E68DA37AA741}">
      <formula1>"High temperature terminals, Average temperature terminals, Low temperature terminals"</formula1>
    </dataValidation>
    <dataValidation type="list" allowBlank="1" showInputMessage="1" showErrorMessage="1" sqref="B8" xr:uid="{EBCABFA5-A43C-44ED-A086-B073C1AD885A}">
      <formula1>"Default, Manual"</formula1>
    </dataValidation>
    <dataValidation type="list" allowBlank="1" showInputMessage="1" showErrorMessage="1" sqref="B2" xr:uid="{1929DFF7-7167-4DA8-A62B-F0E6CF506217}">
      <formula1>"Heating, Cooling"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liminaFogliCreati.EliminaFogliCreati">
                <anchor moveWithCells="1">
                  <from>
                    <xdr:col>4</xdr:col>
                    <xdr:colOff>27214</xdr:colOff>
                    <xdr:row>33</xdr:row>
                    <xdr:rowOff>97971</xdr:rowOff>
                  </from>
                  <to>
                    <xdr:col>5</xdr:col>
                    <xdr:colOff>560614</xdr:colOff>
                    <xdr:row>34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Fogli.CreaFogli">
                <anchor moveWithCells="1">
                  <from>
                    <xdr:col>4</xdr:col>
                    <xdr:colOff>27214</xdr:colOff>
                    <xdr:row>30</xdr:row>
                    <xdr:rowOff>0</xdr:rowOff>
                  </from>
                  <to>
                    <xdr:col>5</xdr:col>
                    <xdr:colOff>571500</xdr:colOff>
                    <xdr:row>32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9BC39A92A5054A91E7110C3163003E" ma:contentTypeVersion="17" ma:contentTypeDescription="Creare un nuovo documento." ma:contentTypeScope="" ma:versionID="eb67ed34d3486f6789c962ac5dac0f51">
  <xsd:schema xmlns:xsd="http://www.w3.org/2001/XMLSchema" xmlns:xs="http://www.w3.org/2001/XMLSchema" xmlns:p="http://schemas.microsoft.com/office/2006/metadata/properties" xmlns:ns2="9f5fad6e-ef09-40f7-9d86-d453df335b7b" xmlns:ns3="c319d79e-6821-4c2a-8db8-88a02643e5e3" targetNamespace="http://schemas.microsoft.com/office/2006/metadata/properties" ma:root="true" ma:fieldsID="4af8d01f9a62a1cc06a55fa3d0ce32aa" ns2:_="" ns3:_="">
    <xsd:import namespace="9f5fad6e-ef09-40f7-9d86-d453df335b7b"/>
    <xsd:import namespace="c319d79e-6821-4c2a-8db8-88a02643e5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fad6e-ef09-40f7-9d86-d453df335b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Tag immagine" ma:readOnly="false" ma:fieldId="{5cf76f15-5ced-4ddc-b409-7134ff3c332f}" ma:taxonomyMulti="true" ma:sspId="62691f12-1220-44b1-ba48-e77f64da29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9d79e-6821-4c2a-8db8-88a02643e5e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d33088f5-1065-42d3-bd54-93f61e303421}" ma:internalName="TaxCatchAll" ma:showField="CatchAllData" ma:web="c319d79e-6821-4c2a-8db8-88a02643e5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19d79e-6821-4c2a-8db8-88a02643e5e3" xsi:nil="true"/>
    <lcf76f155ced4ddcb4097134ff3c332f xmlns="9f5fad6e-ef09-40f7-9d86-d453df335b7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9F07D9E-B4D6-46D3-9D98-316FDFFBCA4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8BB9C8-B25F-4BFF-B478-B9BE76819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5fad6e-ef09-40f7-9d86-d453df335b7b"/>
    <ds:schemaRef ds:uri="c319d79e-6821-4c2a-8db8-88a02643e5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2B9794-62C5-4AF4-A4B9-535C89F7391B}">
  <ds:schemaRefs>
    <ds:schemaRef ds:uri="9f5fad6e-ef09-40f7-9d86-d453df335b7b"/>
    <ds:schemaRef ds:uri="http://purl.org/dc/dcmitype/"/>
    <ds:schemaRef ds:uri="http://purl.org/dc/terms/"/>
    <ds:schemaRef ds:uri="c319d79e-6821-4c2a-8db8-88a02643e5e3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generatorsConfig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Autelitano</dc:creator>
  <cp:keywords/>
  <dc:description/>
  <cp:lastModifiedBy>Kevin Autelitano</cp:lastModifiedBy>
  <cp:revision/>
  <cp:lastPrinted>2024-11-26T09:35:16Z</cp:lastPrinted>
  <dcterms:created xsi:type="dcterms:W3CDTF">2024-06-07T09:07:33Z</dcterms:created>
  <dcterms:modified xsi:type="dcterms:W3CDTF">2026-01-20T08:55:02Z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0x010100199BC39A92A5054A91E7110C3163003E</vt:lpwstr>
  </property>
  <property fmtid="{D5CDD505-2E9C-101B-9397-08002B2CF9AE}" pid="3" name="MediaServiceImageTags">
    <vt:lpwstr/>
  </property>
</Properties>
</file>