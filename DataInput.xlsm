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Questa_cartella_di_lavoro"/>
  <mc:AlternateContent xmlns:mc="http://schemas.openxmlformats.org/markup-compatibility/2006">
    <mc:Choice Requires="x15">
      <x15ac:absPath xmlns:x15ac="http://schemas.microsoft.com/office/spreadsheetml/2010/11/ac" url="https://polimi365.sharepoint.com/sites/documentale-DENG/grupporelab/02_Progetti/AREA LCA/Kevin/PhD/aa20232024/03_Sviluppo/Nuovo modello/FINALE/LCA4DHC/"/>
    </mc:Choice>
  </mc:AlternateContent>
  <xr:revisionPtr revIDLastSave="821" documentId="8_{2D0CB620-8371-4A94-A1E5-252E7E4ED50C}" xr6:coauthVersionLast="47" xr6:coauthVersionMax="47" xr10:uidLastSave="{0A4F9D74-130F-4925-91B4-347A9A73A27E}"/>
  <bookViews>
    <workbookView xWindow="-103" yWindow="-103" windowWidth="16663" windowHeight="8743" tabRatio="869" activeTab="1" xr2:uid="{76F53ECF-AA71-4DC4-BA4C-113A788921EA}"/>
  </bookViews>
  <sheets>
    <sheet name="LICENCE" sheetId="64" r:id="rId1"/>
    <sheet name="README" sheetId="63" r:id="rId2"/>
    <sheet name="generatorsConfig" sheetId="4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42" l="1"/>
  <c r="B28"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tc={5DE66698-7AA0-4711-970C-C42DE1B22B10}</author>
  </authors>
  <commentList>
    <comment ref="A28" authorId="0" shapeId="0" xr:uid="{5DE66698-7AA0-4711-970C-C42DE1B22B1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Qui non si capisce</t>
      </text>
    </comment>
  </commentList>
</comments>
</file>

<file path=xl/sharedStrings.xml><?xml version="1.0" encoding="utf-8"?>
<sst xmlns="http://schemas.openxmlformats.org/spreadsheetml/2006/main" count="170" uniqueCount="164">
  <si>
    <t>Information</t>
  </si>
  <si>
    <t>Data</t>
  </si>
  <si>
    <t>Note</t>
  </si>
  <si>
    <t>Insert lifespan in years</t>
  </si>
  <si>
    <t>Diameter of the pipes [m]</t>
  </si>
  <si>
    <t>Pipe typology</t>
  </si>
  <si>
    <t>Number of users</t>
  </si>
  <si>
    <t>Insert number of users</t>
  </si>
  <si>
    <t>Terminal typology</t>
  </si>
  <si>
    <t>Insert number of appliances</t>
  </si>
  <si>
    <t>Fuel oil boiler</t>
  </si>
  <si>
    <t>Biomass boiler</t>
  </si>
  <si>
    <t>Concrete thermal storage</t>
  </si>
  <si>
    <t>Steel thermal storage</t>
  </si>
  <si>
    <t>3rd generation</t>
  </si>
  <si>
    <t>(Automatic cell)</t>
  </si>
  <si>
    <t>Default</t>
  </si>
  <si>
    <t>Steel - rockwool - stainless steel</t>
  </si>
  <si>
    <t>Heat recovery</t>
  </si>
  <si>
    <t>Boiler</t>
  </si>
  <si>
    <t>Geothermal plant</t>
  </si>
  <si>
    <t>ENERGY SYSTEMS</t>
  </si>
  <si>
    <t>ELECTRICITY INPUT GENERATION</t>
  </si>
  <si>
    <t>END USERS INFORMATION</t>
  </si>
  <si>
    <t>Reference scenario year</t>
  </si>
  <si>
    <t>District Heating and Cooling typology</t>
  </si>
  <si>
    <t>Length pipes [km]</t>
  </si>
  <si>
    <t>High temperature terminals</t>
  </si>
  <si>
    <t>Number of users Domestic Hot Water</t>
  </si>
  <si>
    <t xml:space="preserve">Choose among the options </t>
  </si>
  <si>
    <t>National Grid</t>
  </si>
  <si>
    <t>Photovoltaic system</t>
  </si>
  <si>
    <t>Renewable Energy Certificates</t>
  </si>
  <si>
    <t>Electric Heat Pump</t>
  </si>
  <si>
    <t>Gas Engine Heat Pump</t>
  </si>
  <si>
    <t>Solar thermal system</t>
  </si>
  <si>
    <t>Cooling - Cooling tower</t>
  </si>
  <si>
    <t>Cooling - Absorption chiller</t>
  </si>
  <si>
    <t>CHP-Internal Combustion Engine</t>
  </si>
  <si>
    <t>CHP-Combined Cycle</t>
  </si>
  <si>
    <t>CHP-Turbogas</t>
  </si>
  <si>
    <t>CHP-Organic Rankine Cycle</t>
  </si>
  <si>
    <t>CHP-Waste-to-Energy</t>
  </si>
  <si>
    <t>Reference External Temperature [°C]</t>
  </si>
  <si>
    <t>Life Cycle Assessment Multifunctionality approach</t>
  </si>
  <si>
    <t>Supply primary circuit Temperature [°C]</t>
  </si>
  <si>
    <t>Return primary circuit Temperature [°C]</t>
  </si>
  <si>
    <t>Insert the temperature in °C</t>
  </si>
  <si>
    <t>Insert the input value in km</t>
  </si>
  <si>
    <t>Distribution losses</t>
  </si>
  <si>
    <t>Insert input value between 0 and 1 (Default parameters: 0.15 for 3rd generation, 0.10 for 4th generation, 0 for 5th generation)</t>
  </si>
  <si>
    <t>Reference Study Period (RSP) [Year]</t>
  </si>
  <si>
    <t>Required Service Life (ReqSL) [Year]</t>
  </si>
  <si>
    <t>Insert the input value in MWh</t>
  </si>
  <si>
    <t>DO NOT MODIFY!!!!!</t>
  </si>
  <si>
    <t>Renewable Energy Certificates from Photovoltaic electricity production</t>
  </si>
  <si>
    <t>Renewable Energy Certificates from Hydroelectric electricity production</t>
  </si>
  <si>
    <t>Renewable Energy Certificates from Eolic electricity production</t>
  </si>
  <si>
    <t>Total thermal energy supplied to the end users [MWh]</t>
  </si>
  <si>
    <t>Cooling - Compression chiller</t>
  </si>
  <si>
    <t>Cooling - Dry cooler</t>
  </si>
  <si>
    <t>Gas Absorption Heat Pump</t>
  </si>
  <si>
    <t>Aim of the LCA analysis</t>
  </si>
  <si>
    <t>Heating</t>
  </si>
  <si>
    <t xml:space="preserve">According to ISO 14044 and UNI EN 15316:2017 </t>
  </si>
  <si>
    <t>Insert value in meters or let it empty</t>
  </si>
  <si>
    <t>Insert the input value in meters or select "Default"</t>
  </si>
  <si>
    <t xml:space="preserve">Describe the external input electricity network </t>
  </si>
  <si>
    <t>LCA4DHC</t>
  </si>
  <si>
    <t>A Life Cycle Assessment data-driven tool for the evaluation of District Heating and Cooling networks</t>
  </si>
  <si>
    <t>PROJECT GOALS</t>
  </si>
  <si>
    <t>The tool aims to:</t>
  </si>
  <si>
    <t>• Ensure compliance with EPBD (Energy Performance of Buildings Directive, version 4) requirements</t>
  </si>
  <si>
    <t>• Integrate primary data from network operators with secondary data from recognized LCA databases</t>
  </si>
  <si>
    <t>• Provide a modular, transparent, and reproducible computational framework</t>
  </si>
  <si>
    <t>• Facilitate scenario analysis and system optimization through rapid recalculations</t>
  </si>
  <si>
    <t>PROJECT STATUS</t>
  </si>
  <si>
    <t>Stable – Core computational workflow is fully implemented and functional</t>
  </si>
  <si>
    <t>Experimental – Scientific and methodological validation is ongoing</t>
  </si>
  <si>
    <t>Under active development – Continuous updates and improvements</t>
  </si>
  <si>
    <t>OPERATING SYSTEM</t>
  </si>
  <si>
    <t>Windows</t>
  </si>
  <si>
    <t>COMPILERS / INTERFACES</t>
  </si>
  <si>
    <t>• Excel-based input files (.xlsx, .xlsm)</t>
  </si>
  <si>
    <t>• Python (via Jupyter Notebook)</t>
  </si>
  <si>
    <t>REQUIREMENTS</t>
  </si>
  <si>
    <t>Main Python environment and package versions required to run the tool:</t>
  </si>
  <si>
    <t>python – 3.12.9</t>
  </si>
  <si>
    <t>jupyterlab – 4.3.6</t>
  </si>
  <si>
    <t>pandas – 2.2.3</t>
  </si>
  <si>
    <t>numpy – 1.26.4</t>
  </si>
  <si>
    <t>nbimporter – 0.3.4</t>
  </si>
  <si>
    <t>xlsxwriter – 3.2.2</t>
  </si>
  <si>
    <t>xlrd – 2.0.1</t>
  </si>
  <si>
    <t>traceback – built-in</t>
  </si>
  <si>
    <t>pathlib – built-in</t>
  </si>
  <si>
    <t>bw2data – 4.4.3</t>
  </si>
  <si>
    <t>bw2io – 0.9.7</t>
  </si>
  <si>
    <t>bw2calc – 2.0.1</t>
  </si>
  <si>
    <t>ecoinvent licence – ecoinvent 3.11 EN 15804 + A2</t>
  </si>
  <si>
    <t>➕ Third-party software dependencies (see below)</t>
  </si>
  <si>
    <t>THIRD-PARTY SOFTWARE</t>
  </si>
  <si>
    <t>• Brightway 2.5 – Core Life Cycle Assessment computational framework</t>
  </si>
  <si>
    <t>• Environmental Footprint method (EF 3.1) – Life Cycle Impact Assessment characterization factors</t>
  </si>
  <si>
    <t>• Miniconda – Python environment and package management</t>
  </si>
  <si>
    <t>• Jupyter Lab – Execution environment and user interface</t>
  </si>
  <si>
    <t>⚠ A valid Ecoinvent license is required to run the tool.</t>
  </si>
  <si>
    <t>LIFE CYCLE IMPACT INDICATORS</t>
  </si>
  <si>
    <t>A – Acidification – EN 15804 + A2</t>
  </si>
  <si>
    <t>EF – Eutrophication (freshwater) – EN 15804 + A2</t>
  </si>
  <si>
    <t>EM – Eutrophication (marine) – EN 15804 + A2</t>
  </si>
  <si>
    <t>ET – Eutrophication (terrestrial) – EN 15804 + A2</t>
  </si>
  <si>
    <t>POF – Photochemical oxidant formation (human health) – EN 15804 + A2</t>
  </si>
  <si>
    <t>PM – Particulate matter formation – EN 15804 + A2 (additional indicators)</t>
  </si>
  <si>
    <t>OD – Ozone depletion – EN 15804 + A2</t>
  </si>
  <si>
    <t>ERnren – Energy resources (non-renewable) – EN 15804 + A2</t>
  </si>
  <si>
    <t>PENRT – Total use of non-renewable primary energy resources – EN 15804 + A2</t>
  </si>
  <si>
    <t>RUMM – Material resources (metals and minerals) – EN 15804 + A2</t>
  </si>
  <si>
    <t>WU – Water use – EN 15804 + A2</t>
  </si>
  <si>
    <t>Indicator selection and implementation are fully transparent and extendable in future releases.</t>
  </si>
  <si>
    <t>LICENSE</t>
  </si>
  <si>
    <t>DISCLAIMER</t>
  </si>
  <si>
    <t>THERMAL CAPACITY DEFINITION</t>
  </si>
  <si>
    <t>SCENARIO CONFIGURATION</t>
  </si>
  <si>
    <t>REFERENCES</t>
  </si>
  <si>
    <t>CITATION (ACADEMIC USE)</t>
  </si>
  <si>
    <t>CONTRIBUTING</t>
  </si>
  <si>
    <t>AUTHORS / CONTACT</t>
  </si>
  <si>
    <t xml:space="preserve">                                    Apache License
                           Version 2.0, January 2004
                        http://www.apache.org/licenses/</t>
  </si>
  <si>
    <t>Copyright 2026 Kevin Autelitano and Jacopo Famiglietti</t>
  </si>
  <si>
    <t>Licensed under the Apache License, Version 2.0 (the "License");
 you may not use this file except in compliance with the License.
 You may obtain a copy of the License at:</t>
  </si>
  <si>
    <t xml:space="preserve"> 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</si>
  <si>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</si>
  <si>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LCA4DHC is a data-driven Life Cycle Assessment (LCA) tool designed to support the environmental evaluation of District Heating and Cooling (DHC) networks.</t>
  </si>
  <si>
    <t>• Evaluate the environmental impacts of heat and cooling supplied by DHC networks on a life cycle thinking</t>
  </si>
  <si>
    <t>• Support standardized and automated LCA calculations according to EN 15804 + A2 and EN 50693</t>
  </si>
  <si>
    <t>• Enable assessments per technology and per life cycle module (from A to D) - from-cradle-to-cradle</t>
  </si>
  <si>
    <t>• ecoinvent database v3.11 (EN 15804) – Emission factors and background processes.</t>
  </si>
  <si>
    <t>• Other versions of the ecoinvent database can be used; be sure to change process names used in the database when required.</t>
  </si>
  <si>
    <t>The LCA4DHC tool currently implements a selected set of Life Cycle Impact Assessment (LCIA) indicators in accordance with EN 15804 + A2 and EN 50963, using characterization methods from Environmental Footprint (EF v3.1).</t>
  </si>
  <si>
    <t>The following indicators are available in the current version of the tool:</t>
  </si>
  <si>
    <t>CC – Climate change (total) – EF v3.1  -  IPCC 2021</t>
  </si>
  <si>
    <t>CCfossil – Climate change (fossil) – EF v3.1  -  IPCC 2021</t>
  </si>
  <si>
    <t>CCbio – Climate change (biogenic) – EF v3.1  -  IPCC 2021</t>
  </si>
  <si>
    <t>CCluc – Climate change (land use and land use change) – EF v3.1  -  IPCC 2021</t>
  </si>
  <si>
    <t>The LCA4DHC tool is provided for research, academic, and technical support purposes only.</t>
  </si>
  <si>
    <t>• The authors do not guarantee the absence of errors, inaccuracies, or omissions.</t>
  </si>
  <si>
    <t>• The authors accept no liability for any direct or indirect damages resulting from the use of the tool.</t>
  </si>
  <si>
    <t>• Users are fully responsible for validating the correctness, robustness, and suitability of the results for their specific application.</t>
  </si>
  <si>
    <t>• Results should be independently reviewed, especially when used for regulatory, policy, or decision-making purposes.</t>
  </si>
  <si>
    <t>When providing thermal capacity values for energy conversion systems (e.g., boilers, Combined Heat and Power units, heat pumps, etc.), users must refer to the useful thermal power delivered to the water circuit of the district heating or cooling network.</t>
  </si>
  <si>
    <t xml:space="preserve">Users can modify decarbonization scenarios for the natural gas vector and refrigerant gases by selecting the reference scenario year. This enables the analysis of different decarbonization pathways over time.
Prospective scenarios for the electricity and ** other components** are not implemented in this tool. For electricity-related prospective assessments, please refer to the
PRospective EnvironMental Impact asSEment (premise).
</t>
  </si>
  <si>
    <t>This tool is based on the following peer-reviewed publications:</t>
  </si>
  <si>
    <t>If you use this tool in academic work, please cite it as:</t>
  </si>
  <si>
    <t>Contributions are welcome.
If you encounter bugs, issues, or have suggestions for improvements, please contact the authors or open an issue in the project repository.</t>
  </si>
  <si>
    <r>
      <t xml:space="preserve">• The Excel input file </t>
    </r>
    <r>
      <rPr>
        <i/>
        <sz val="11"/>
        <rFont val="Aptos Narrow"/>
        <family val="2"/>
      </rPr>
      <t>DataInput</t>
    </r>
    <r>
      <rPr>
        <sz val="11"/>
        <rFont val="Aptos Narrow"/>
        <family val="2"/>
      </rPr>
      <t xml:space="preserve"> must be fully completed in all its sections, with all required data fields properly filled in. Incomplete or partially compiled input files may lead to invalid or misleading results.</t>
    </r>
  </si>
  <si>
    <r>
      <t xml:space="preserve">• </t>
    </r>
    <r>
      <rPr>
        <b/>
        <sz val="11"/>
        <rFont val="Aptos Narrow"/>
        <family val="2"/>
      </rPr>
      <t>Famiglietti, J., Toosi, H. A., Dénarié, A., &amp; Motta, M. (2022).</t>
    </r>
    <r>
      <rPr>
        <sz val="11"/>
        <rFont val="Aptos Narrow"/>
        <family val="2"/>
      </rPr>
      <t xml:space="preserve">
Developing a new data-driven LCA tool at the urban scale: The case of the energy performance of the building sector.
Energy Conversion and Management, 256, 115389. https://doi.org/10.1016/j.enconman.2022.115389</t>
    </r>
  </si>
  <si>
    <r>
      <t xml:space="preserve">• </t>
    </r>
    <r>
      <rPr>
        <b/>
        <sz val="11"/>
        <rFont val="Aptos Narrow"/>
        <family val="2"/>
      </rPr>
      <t>Vauchez, M., Famiglietti, J., Autelitano, K., Colombert, M., Scoccia, R., &amp; Motta, M. (2023).</t>
    </r>
    <r>
      <rPr>
        <sz val="11"/>
        <rFont val="Aptos Narrow"/>
        <family val="2"/>
      </rPr>
      <t xml:space="preserve">
Life Cycle Assessment of District Heating Infrastructures: A Comparison of Pipe Typologies in France.
Energies, 16(9), 3912. https://doi.org/10.3390/en16093912</t>
    </r>
  </si>
  <si>
    <r>
      <t xml:space="preserve">• </t>
    </r>
    <r>
      <rPr>
        <b/>
        <sz val="11"/>
        <rFont val="Aptos Narrow"/>
        <family val="2"/>
      </rPr>
      <t>Autelitano, K., Famiglietti, J., Toppi, T., &amp; Motta, M. (2023).</t>
    </r>
    <r>
      <rPr>
        <sz val="11"/>
        <rFont val="Aptos Narrow"/>
        <family val="2"/>
      </rPr>
      <t xml:space="preserve">
Empirical power-law relationships for the Life Cycle Assessment of heat pump units.
Cleaner Environmental Systems, 9, 100135. https://doi.org/10.1016/j.cesys.2023.100135</t>
    </r>
  </si>
  <si>
    <r>
      <rPr>
        <b/>
        <sz val="11"/>
        <rFont val="Aptos Narrow"/>
        <family val="2"/>
      </rPr>
      <t>Autelitano, K., &amp; Famiglietti, J. (2026)</t>
    </r>
    <r>
      <rPr>
        <sz val="11"/>
        <rFont val="Aptos Narrow"/>
        <family val="2"/>
      </rPr>
      <t>. LCA Tool for District Heating Networks. Zenodo. https://doi.org/10.5281/zenodo.xxxxxx</t>
    </r>
  </si>
  <si>
    <r>
      <rPr>
        <b/>
        <sz val="11"/>
        <rFont val="Aptos Narrow"/>
        <family val="2"/>
      </rPr>
      <t>Kevin Autelitano</t>
    </r>
    <r>
      <rPr>
        <sz val="11"/>
        <rFont val="Aptos Narrow"/>
        <family val="2"/>
      </rPr>
      <t xml:space="preserve">
Politecnico di Milano
📧 kevin.autelitano@polimi.it</t>
    </r>
  </si>
  <si>
    <r>
      <rPr>
        <b/>
        <sz val="11"/>
        <color theme="1"/>
        <rFont val="Aptos Narrow"/>
        <family val="2"/>
      </rPr>
      <t>Jacopo Famiglietti</t>
    </r>
    <r>
      <rPr>
        <sz val="11"/>
        <color theme="1"/>
        <rFont val="Aptos Narrow"/>
        <family val="2"/>
      </rPr>
      <t xml:space="preserve">
Politecnico di Milano
📧 jacopo.famiglietti@polimi.it</t>
    </r>
  </si>
  <si>
    <t>This research was funded by the National Recovery and Resilience Plan (NRRP), Mission 4 Component 2 Investment 1.3—Call for tender No. 1561 of 11.10.2022 of Ministero dell’Università e della Ricerca (MUR)—and funded by the European Union, NextGenerationEU, project code PE0000021, Concession Decree No. 1561 of 11.10.2022 adopted by Ministero dell’Università e della Ricerca (MUR), CUP–D43C2200309001, according to attachment E of Decree No. 1561/2022, project title “Network 4 Energy Sustainable Transition–NEST”.</t>
  </si>
  <si>
    <t>ACKNOWLEDGMENTS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</si>
</sst>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2"/>
      <color theme="1"/>
      <name val="Aptos Narrow"/>
      <family val="2"/>
      <scheme val="minor"/>
    </font>
    <font>
      <sz val="12"/>
      <color theme="0" tint="-0.499984740745262"/>
      <name val="Aptos Narrow"/>
      <family val="2"/>
      <scheme val="minor"/>
    </font>
    <font>
      <sz val="11"/>
      <color rgb="FF000000"/>
      <name val="Aptos Narrow"/>
      <family val="2"/>
    </font>
    <font>
      <b/>
      <sz val="12"/>
      <name val="Aptos Narrow"/>
      <family val="2"/>
      <scheme val="minor"/>
    </font>
    <font>
      <b/>
      <sz val="20"/>
      <color theme="1"/>
      <name val="Aptos Narrow"/>
      <family val="2"/>
      <scheme val="minor"/>
    </font>
    <font>
      <b/>
      <sz val="12"/>
      <color rgb="FFC00000"/>
      <name val="Aptos Narrow"/>
      <family val="2"/>
      <scheme val="minor"/>
    </font>
    <font>
      <b/>
      <sz val="12"/>
      <color theme="1"/>
      <name val="Aptos Narrow"/>
      <family val="2"/>
      <scheme val="minor"/>
    </font>
    <font>
      <sz val="12"/>
      <name val="Aptos Narrow"/>
      <family val="2"/>
      <scheme val="minor"/>
    </font>
    <font>
      <b/>
      <sz val="16"/>
      <name val="Aptos Narrow"/>
      <family val="2"/>
    </font>
    <font>
      <sz val="11"/>
      <color theme="1"/>
      <name val="Aptos Narrow"/>
      <family val="2"/>
    </font>
    <font>
      <sz val="12"/>
      <name val="Aptos Narrow"/>
      <family val="2"/>
    </font>
    <font>
      <sz val="11"/>
      <name val="Aptos Narrow"/>
      <family val="2"/>
    </font>
    <font>
      <b/>
      <sz val="14"/>
      <name val="Aptos Narrow"/>
      <family val="2"/>
    </font>
    <font>
      <i/>
      <sz val="11"/>
      <name val="Aptos Narrow"/>
      <family val="2"/>
    </font>
    <font>
      <b/>
      <sz val="11"/>
      <name val="Aptos Narrow"/>
      <family val="2"/>
    </font>
    <font>
      <b/>
      <sz val="11"/>
      <color theme="1"/>
      <name val="Aptos Narrow"/>
      <family val="2"/>
    </font>
  </fonts>
  <fills count="9">
    <fill>
      <patternFill patternType="none"/>
    </fill>
    <fill>
      <patternFill patternType="gray125"/>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theme="0" tint="-0.14999847407452621"/>
        <bgColor indexed="64"/>
      </patternFill>
    </fill>
  </fills>
  <borders count="6">
    <border>
      <left/>
      <right/>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1" fillId="0" borderId="0" xfId="0" applyFont="1" applyAlignment="1">
      <alignment horizontal="center"/>
    </xf>
    <xf numFmtId="0" fontId="1" fillId="3" borderId="0" xfId="0" applyFont="1" applyFill="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1" fillId="6" borderId="0" xfId="0" applyFont="1" applyFill="1" applyAlignment="1">
      <alignment horizontal="center"/>
    </xf>
    <xf numFmtId="0" fontId="2" fillId="7" borderId="0" xfId="0" applyFont="1" applyFill="1" applyAlignment="1">
      <alignment horizontal="center"/>
    </xf>
    <xf numFmtId="0" fontId="1" fillId="4" borderId="0" xfId="0" applyFont="1" applyFill="1" applyAlignment="1">
      <alignment horizontal="center" vertical="center"/>
    </xf>
    <xf numFmtId="0" fontId="1" fillId="5" borderId="1" xfId="0" applyFont="1" applyFill="1" applyBorder="1" applyAlignment="1">
      <alignment horizontal="center"/>
    </xf>
    <xf numFmtId="2" fontId="2" fillId="2" borderId="1" xfId="0" applyNumberFormat="1" applyFont="1" applyFill="1" applyBorder="1" applyAlignment="1">
      <alignment horizontal="center"/>
    </xf>
    <xf numFmtId="0" fontId="1" fillId="3" borderId="1" xfId="0" applyFont="1" applyFill="1" applyBorder="1" applyAlignment="1">
      <alignment horizontal="center"/>
    </xf>
    <xf numFmtId="0" fontId="1" fillId="4" borderId="1" xfId="0" applyFont="1" applyFill="1" applyBorder="1" applyAlignment="1">
      <alignment horizontal="center"/>
    </xf>
    <xf numFmtId="2" fontId="2" fillId="7" borderId="0" xfId="0" applyNumberFormat="1"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6" fillId="2" borderId="0" xfId="0" applyFont="1" applyFill="1" applyAlignment="1">
      <alignment horizontal="center"/>
    </xf>
    <xf numFmtId="0" fontId="1" fillId="6" borderId="1" xfId="0" applyFont="1" applyFill="1" applyBorder="1" applyAlignment="1">
      <alignment horizontal="center"/>
    </xf>
    <xf numFmtId="0" fontId="1" fillId="2" borderId="0" xfId="0" applyFont="1" applyFill="1" applyAlignment="1">
      <alignment horizontal="center"/>
    </xf>
    <xf numFmtId="0" fontId="8" fillId="5" borderId="0" xfId="0" applyFont="1" applyFill="1" applyAlignment="1">
      <alignment horizontal="center"/>
    </xf>
    <xf numFmtId="0" fontId="9" fillId="0" borderId="0" xfId="0" applyFont="1" applyAlignment="1">
      <alignment vertical="top" wrapText="1"/>
    </xf>
    <xf numFmtId="0" fontId="10" fillId="0" borderId="0" xfId="0" applyFont="1"/>
    <xf numFmtId="0" fontId="11"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2" fillId="0" borderId="5" xfId="0" applyFont="1" applyBorder="1" applyAlignment="1">
      <alignment vertical="top" wrapText="1"/>
    </xf>
    <xf numFmtId="0" fontId="12" fillId="0" borderId="0" xfId="0" applyFont="1" applyAlignment="1">
      <alignment horizontal="center" vertical="center" wrapText="1"/>
    </xf>
    <xf numFmtId="0" fontId="12" fillId="0" borderId="0" xfId="0" applyFont="1" applyAlignment="1">
      <alignment horizontal="left" vertical="top" wrapText="1"/>
    </xf>
    <xf numFmtId="0" fontId="10" fillId="0" borderId="0" xfId="0" applyFont="1" applyAlignment="1">
      <alignment wrapText="1"/>
    </xf>
    <xf numFmtId="0" fontId="7" fillId="7" borderId="0" xfId="0" applyFont="1" applyFill="1" applyAlignment="1">
      <alignment horizontal="center"/>
    </xf>
    <xf numFmtId="0" fontId="7" fillId="3" borderId="0" xfId="0" applyFont="1" applyFill="1" applyAlignment="1">
      <alignment horizontal="center"/>
    </xf>
    <xf numFmtId="0" fontId="7" fillId="3" borderId="1" xfId="0" applyFont="1" applyFill="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xf>
    <xf numFmtId="0" fontId="4" fillId="5" borderId="1" xfId="0" applyFont="1" applyFill="1" applyBorder="1" applyAlignment="1">
      <alignment horizontal="center"/>
    </xf>
    <xf numFmtId="0" fontId="1" fillId="7" borderId="2" xfId="0" applyFont="1" applyFill="1" applyBorder="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2" xfId="0" applyFont="1" applyFill="1" applyBorder="1" applyAlignment="1">
      <alignment horizontal="center" vertical="center"/>
    </xf>
  </cellXfs>
  <cellStyles count="1">
    <cellStyle name="Normale"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27214</xdr:colOff>
          <xdr:row>33</xdr:row>
          <xdr:rowOff>97971</xdr:rowOff>
        </xdr:from>
        <xdr:to>
          <xdr:col>5</xdr:col>
          <xdr:colOff>560614</xdr:colOff>
          <xdr:row>34</xdr:row>
          <xdr:rowOff>97971</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CANC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27214</xdr:colOff>
          <xdr:row>30</xdr:row>
          <xdr:rowOff>0</xdr:rowOff>
        </xdr:from>
        <xdr:to>
          <xdr:col>5</xdr:col>
          <xdr:colOff>571500</xdr:colOff>
          <xdr:row>32</xdr:row>
          <xdr:rowOff>27214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START</a:t>
              </a:r>
            </a:p>
          </xdr:txBody>
        </xdr:sp>
        <xdr:clientData fPrintsWithSheet="0"/>
      </xdr:twoCellAnchor>
    </mc:Choice>
    <mc:Fallback/>
  </mc:AlternateContent>
  <xdr:twoCellAnchor>
    <xdr:from>
      <xdr:col>3</xdr:col>
      <xdr:colOff>100851</xdr:colOff>
      <xdr:row>21</xdr:row>
      <xdr:rowOff>0</xdr:rowOff>
    </xdr:from>
    <xdr:to>
      <xdr:col>11</xdr:col>
      <xdr:colOff>593912</xdr:colOff>
      <xdr:row>28</xdr:row>
      <xdr:rowOff>112058</xdr:rowOff>
    </xdr:to>
    <xdr:sp macro="" textlink="">
      <xdr:nvSpPr>
        <xdr:cNvPr id="2" name="TextBox 1">
          <a:extLst>
            <a:ext uri="{FF2B5EF4-FFF2-40B4-BE49-F238E27FC236}">
              <a16:creationId xmlns:a16="http://schemas.microsoft.com/office/drawing/2014/main" id="{39847A18-0379-90EA-2CDA-C1492F260AE3}"/>
            </a:ext>
          </a:extLst>
        </xdr:cNvPr>
        <xdr:cNvSpPr txBox="1"/>
      </xdr:nvSpPr>
      <xdr:spPr>
        <a:xfrm>
          <a:off x="15475322" y="4146176"/>
          <a:ext cx="5334002"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PLEASE</a:t>
          </a:r>
          <a:r>
            <a:rPr lang="en-US" sz="1600" b="1" baseline="0"/>
            <a:t> NOTE:</a:t>
          </a:r>
        </a:p>
        <a:p>
          <a:endParaRPr lang="en-US" sz="1600" b="1" baseline="0"/>
        </a:p>
        <a:p>
          <a:pPr algn="l"/>
          <a:r>
            <a:rPr lang="en-US" sz="1600" b="0"/>
            <a:t>Before entering new data in this sheet, you must click on CANC (below). Then enter the data and click on START to generate the sheets for the individual technologies.</a:t>
          </a:r>
        </a:p>
      </xdr:txBody>
    </xdr:sp>
    <xdr:clientData/>
  </xdr:twoCellAnchor>
</xdr:wsDr>
</file>

<file path=xl/persons/person.xml><?xml version="1.0" encoding="utf-8"?>
<personList xmlns="http://schemas.microsoft.com/office/spreadsheetml/2018/threadedcomments" xmlns:x="http://schemas.openxmlformats.org/spreadsheetml/2006/main">
  <person displayName="Jacopo Famiglietti" id="{BF29CE46-8A29-4981-AD52-8E9670775A01}" userId="S::10495890@polimi.it::9cde80a1-d616-4093-a295-cbf7ab4a3b6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8" dT="2026-02-03T10:08:52.59" personId="{BF29CE46-8A29-4981-AD52-8E9670775A01}" id="{5DE66698-7AA0-4711-970C-C42DE1B22B10}">
    <text>Qui non si capisce</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608E-2501-405C-9E4A-6DD18DE530DD}">
  <dimension ref="A1:A7"/>
  <sheetViews>
    <sheetView showGridLines="0" topLeftCell="A3" workbookViewId="0">
      <selection activeCell="A8" sqref="A8:XFD36"/>
    </sheetView>
  </sheetViews>
  <sheetFormatPr defaultRowHeight="14.6" x14ac:dyDescent="0.4"/>
  <cols>
    <col min="1" max="1" width="120" style="20" customWidth="1"/>
    <col min="2" max="16384" width="9.23046875" style="20"/>
  </cols>
  <sheetData>
    <row r="1" spans="1:1" ht="28" customHeight="1" x14ac:dyDescent="0.4">
      <c r="A1" s="23" t="s">
        <v>120</v>
      </c>
    </row>
    <row r="2" spans="1:1" ht="43.75" x14ac:dyDescent="0.4">
      <c r="A2" s="25" t="s">
        <v>128</v>
      </c>
    </row>
    <row r="3" spans="1:1" ht="28" customHeight="1" x14ac:dyDescent="0.4">
      <c r="A3" s="26" t="s">
        <v>129</v>
      </c>
    </row>
    <row r="4" spans="1:1" ht="43.75" x14ac:dyDescent="0.4">
      <c r="A4" s="22" t="s">
        <v>130</v>
      </c>
    </row>
    <row r="5" spans="1:1" ht="28" customHeight="1" x14ac:dyDescent="0.4">
      <c r="A5" s="25" t="s">
        <v>131</v>
      </c>
    </row>
    <row r="6" spans="1:1" ht="72.900000000000006" x14ac:dyDescent="0.4">
      <c r="A6" s="22" t="s">
        <v>132</v>
      </c>
    </row>
    <row r="7" spans="1:1" x14ac:dyDescent="0.4">
      <c r="A7"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8EDE5-3705-44D2-BEE1-6C5F64CF44A7}">
  <dimension ref="A1:A107"/>
  <sheetViews>
    <sheetView showGridLines="0" tabSelected="1" topLeftCell="A104" workbookViewId="0">
      <selection activeCell="A107" sqref="A107"/>
    </sheetView>
  </sheetViews>
  <sheetFormatPr defaultRowHeight="14.6" x14ac:dyDescent="0.4"/>
  <cols>
    <col min="1" max="1" width="120" style="20" customWidth="1"/>
    <col min="2" max="16384" width="9.23046875" style="20"/>
  </cols>
  <sheetData>
    <row r="1" spans="1:1" ht="28" customHeight="1" x14ac:dyDescent="0.4">
      <c r="A1" s="19" t="s">
        <v>68</v>
      </c>
    </row>
    <row r="2" spans="1:1" ht="28" customHeight="1" x14ac:dyDescent="0.4">
      <c r="A2" s="21" t="s">
        <v>69</v>
      </c>
    </row>
    <row r="3" spans="1:1" ht="28" customHeight="1" x14ac:dyDescent="0.4">
      <c r="A3" s="22"/>
    </row>
    <row r="4" spans="1:1" ht="28" customHeight="1" x14ac:dyDescent="0.4">
      <c r="A4" s="23" t="s">
        <v>70</v>
      </c>
    </row>
    <row r="5" spans="1:1" ht="28" customHeight="1" x14ac:dyDescent="0.4">
      <c r="A5" s="22" t="s">
        <v>133</v>
      </c>
    </row>
    <row r="6" spans="1:1" ht="28" customHeight="1" x14ac:dyDescent="0.4">
      <c r="A6" s="22"/>
    </row>
    <row r="7" spans="1:1" ht="28" customHeight="1" x14ac:dyDescent="0.4">
      <c r="A7" s="22" t="s">
        <v>71</v>
      </c>
    </row>
    <row r="8" spans="1:1" ht="28" customHeight="1" x14ac:dyDescent="0.4">
      <c r="A8" s="22" t="s">
        <v>134</v>
      </c>
    </row>
    <row r="9" spans="1:1" ht="28" customHeight="1" x14ac:dyDescent="0.4">
      <c r="A9" s="22" t="s">
        <v>72</v>
      </c>
    </row>
    <row r="10" spans="1:1" ht="28" customHeight="1" x14ac:dyDescent="0.4">
      <c r="A10" s="22" t="s">
        <v>135</v>
      </c>
    </row>
    <row r="11" spans="1:1" ht="28" customHeight="1" x14ac:dyDescent="0.4">
      <c r="A11" s="22" t="s">
        <v>136</v>
      </c>
    </row>
    <row r="12" spans="1:1" ht="28" customHeight="1" x14ac:dyDescent="0.4">
      <c r="A12" s="22" t="s">
        <v>73</v>
      </c>
    </row>
    <row r="13" spans="1:1" ht="28" customHeight="1" x14ac:dyDescent="0.4">
      <c r="A13" s="22" t="s">
        <v>74</v>
      </c>
    </row>
    <row r="14" spans="1:1" ht="28" customHeight="1" x14ac:dyDescent="0.4">
      <c r="A14" s="22" t="s">
        <v>75</v>
      </c>
    </row>
    <row r="15" spans="1:1" ht="28" customHeight="1" x14ac:dyDescent="0.4">
      <c r="A15" s="22"/>
    </row>
    <row r="16" spans="1:1" ht="28" customHeight="1" x14ac:dyDescent="0.4">
      <c r="A16" s="23" t="s">
        <v>76</v>
      </c>
    </row>
    <row r="17" spans="1:1" ht="28" customHeight="1" x14ac:dyDescent="0.4">
      <c r="A17" s="22" t="s">
        <v>77</v>
      </c>
    </row>
    <row r="18" spans="1:1" ht="28" customHeight="1" x14ac:dyDescent="0.4">
      <c r="A18" s="22" t="s">
        <v>78</v>
      </c>
    </row>
    <row r="19" spans="1:1" ht="28" customHeight="1" x14ac:dyDescent="0.4">
      <c r="A19" s="22" t="s">
        <v>79</v>
      </c>
    </row>
    <row r="20" spans="1:1" ht="28" customHeight="1" x14ac:dyDescent="0.4">
      <c r="A20" s="22"/>
    </row>
    <row r="21" spans="1:1" ht="28" customHeight="1" x14ac:dyDescent="0.4">
      <c r="A21" s="23" t="s">
        <v>80</v>
      </c>
    </row>
    <row r="22" spans="1:1" ht="28" customHeight="1" x14ac:dyDescent="0.4">
      <c r="A22" s="22" t="s">
        <v>81</v>
      </c>
    </row>
    <row r="23" spans="1:1" ht="28" customHeight="1" x14ac:dyDescent="0.4">
      <c r="A23" s="22"/>
    </row>
    <row r="24" spans="1:1" ht="28" customHeight="1" x14ac:dyDescent="0.4">
      <c r="A24" s="23" t="s">
        <v>82</v>
      </c>
    </row>
    <row r="25" spans="1:1" ht="28" customHeight="1" x14ac:dyDescent="0.4">
      <c r="A25" s="22" t="s">
        <v>83</v>
      </c>
    </row>
    <row r="26" spans="1:1" ht="28" customHeight="1" x14ac:dyDescent="0.4">
      <c r="A26" s="22" t="s">
        <v>84</v>
      </c>
    </row>
    <row r="27" spans="1:1" ht="28" customHeight="1" x14ac:dyDescent="0.4">
      <c r="A27" s="22"/>
    </row>
    <row r="28" spans="1:1" ht="28" customHeight="1" x14ac:dyDescent="0.4">
      <c r="A28" s="23" t="s">
        <v>85</v>
      </c>
    </row>
    <row r="29" spans="1:1" ht="28" customHeight="1" x14ac:dyDescent="0.4">
      <c r="A29" s="22" t="s">
        <v>86</v>
      </c>
    </row>
    <row r="30" spans="1:1" ht="28" customHeight="1" x14ac:dyDescent="0.4">
      <c r="A30" s="24" t="s">
        <v>87</v>
      </c>
    </row>
    <row r="31" spans="1:1" ht="28" customHeight="1" x14ac:dyDescent="0.4">
      <c r="A31" s="24" t="s">
        <v>88</v>
      </c>
    </row>
    <row r="32" spans="1:1" ht="28" customHeight="1" x14ac:dyDescent="0.4">
      <c r="A32" s="24" t="s">
        <v>89</v>
      </c>
    </row>
    <row r="33" spans="1:1" ht="28" customHeight="1" x14ac:dyDescent="0.4">
      <c r="A33" s="24" t="s">
        <v>90</v>
      </c>
    </row>
    <row r="34" spans="1:1" ht="28" customHeight="1" x14ac:dyDescent="0.4">
      <c r="A34" s="24" t="s">
        <v>91</v>
      </c>
    </row>
    <row r="35" spans="1:1" ht="28" customHeight="1" x14ac:dyDescent="0.4">
      <c r="A35" s="24" t="s">
        <v>92</v>
      </c>
    </row>
    <row r="36" spans="1:1" ht="28" customHeight="1" x14ac:dyDescent="0.4">
      <c r="A36" s="24" t="s">
        <v>93</v>
      </c>
    </row>
    <row r="37" spans="1:1" ht="28" customHeight="1" x14ac:dyDescent="0.4">
      <c r="A37" s="24" t="s">
        <v>94</v>
      </c>
    </row>
    <row r="38" spans="1:1" ht="28" customHeight="1" x14ac:dyDescent="0.4">
      <c r="A38" s="24" t="s">
        <v>95</v>
      </c>
    </row>
    <row r="39" spans="1:1" ht="28" customHeight="1" x14ac:dyDescent="0.4">
      <c r="A39" s="24" t="s">
        <v>96</v>
      </c>
    </row>
    <row r="40" spans="1:1" ht="28" customHeight="1" x14ac:dyDescent="0.4">
      <c r="A40" s="24" t="s">
        <v>97</v>
      </c>
    </row>
    <row r="41" spans="1:1" ht="28" customHeight="1" x14ac:dyDescent="0.4">
      <c r="A41" s="24" t="s">
        <v>98</v>
      </c>
    </row>
    <row r="42" spans="1:1" ht="28" customHeight="1" x14ac:dyDescent="0.4">
      <c r="A42" s="24" t="s">
        <v>99</v>
      </c>
    </row>
    <row r="43" spans="1:1" ht="28" customHeight="1" x14ac:dyDescent="0.4">
      <c r="A43" s="22" t="s">
        <v>100</v>
      </c>
    </row>
    <row r="44" spans="1:1" ht="28" customHeight="1" x14ac:dyDescent="0.4">
      <c r="A44" s="22"/>
    </row>
    <row r="45" spans="1:1" ht="28" customHeight="1" x14ac:dyDescent="0.4">
      <c r="A45" s="23" t="s">
        <v>101</v>
      </c>
    </row>
    <row r="46" spans="1:1" ht="28" customHeight="1" x14ac:dyDescent="0.4">
      <c r="A46" s="22" t="s">
        <v>102</v>
      </c>
    </row>
    <row r="47" spans="1:1" ht="28" customHeight="1" x14ac:dyDescent="0.4">
      <c r="A47" s="22" t="s">
        <v>137</v>
      </c>
    </row>
    <row r="48" spans="1:1" ht="28" customHeight="1" x14ac:dyDescent="0.4">
      <c r="A48" s="22" t="s">
        <v>138</v>
      </c>
    </row>
    <row r="49" spans="1:1" ht="28" customHeight="1" x14ac:dyDescent="0.4">
      <c r="A49" s="22" t="s">
        <v>103</v>
      </c>
    </row>
    <row r="50" spans="1:1" ht="28" customHeight="1" x14ac:dyDescent="0.4">
      <c r="A50" s="22" t="s">
        <v>104</v>
      </c>
    </row>
    <row r="51" spans="1:1" ht="28" customHeight="1" x14ac:dyDescent="0.4">
      <c r="A51" s="22" t="s">
        <v>105</v>
      </c>
    </row>
    <row r="52" spans="1:1" ht="28" customHeight="1" x14ac:dyDescent="0.4">
      <c r="A52" s="22" t="s">
        <v>106</v>
      </c>
    </row>
    <row r="53" spans="1:1" ht="28" customHeight="1" x14ac:dyDescent="0.4">
      <c r="A53" s="22"/>
    </row>
    <row r="54" spans="1:1" ht="28" customHeight="1" x14ac:dyDescent="0.4">
      <c r="A54" s="23" t="s">
        <v>107</v>
      </c>
    </row>
    <row r="55" spans="1:1" ht="29.15" x14ac:dyDescent="0.4">
      <c r="A55" s="22" t="s">
        <v>139</v>
      </c>
    </row>
    <row r="56" spans="1:1" x14ac:dyDescent="0.4">
      <c r="A56" s="22"/>
    </row>
    <row r="57" spans="1:1" x14ac:dyDescent="0.4">
      <c r="A57" s="22" t="s">
        <v>140</v>
      </c>
    </row>
    <row r="58" spans="1:1" x14ac:dyDescent="0.4">
      <c r="A58" s="22"/>
    </row>
    <row r="59" spans="1:1" ht="28" customHeight="1" x14ac:dyDescent="0.4">
      <c r="A59" s="24" t="s">
        <v>141</v>
      </c>
    </row>
    <row r="60" spans="1:1" ht="28" customHeight="1" x14ac:dyDescent="0.4">
      <c r="A60" s="24" t="s">
        <v>142</v>
      </c>
    </row>
    <row r="61" spans="1:1" ht="28" customHeight="1" x14ac:dyDescent="0.4">
      <c r="A61" s="24" t="s">
        <v>143</v>
      </c>
    </row>
    <row r="62" spans="1:1" ht="28" customHeight="1" x14ac:dyDescent="0.4">
      <c r="A62" s="24" t="s">
        <v>144</v>
      </c>
    </row>
    <row r="63" spans="1:1" ht="28" customHeight="1" x14ac:dyDescent="0.4">
      <c r="A63" s="24" t="s">
        <v>108</v>
      </c>
    </row>
    <row r="64" spans="1:1" ht="28" customHeight="1" x14ac:dyDescent="0.4">
      <c r="A64" s="24" t="s">
        <v>109</v>
      </c>
    </row>
    <row r="65" spans="1:1" ht="28" customHeight="1" x14ac:dyDescent="0.4">
      <c r="A65" s="24" t="s">
        <v>110</v>
      </c>
    </row>
    <row r="66" spans="1:1" ht="28" customHeight="1" x14ac:dyDescent="0.4">
      <c r="A66" s="24" t="s">
        <v>111</v>
      </c>
    </row>
    <row r="67" spans="1:1" ht="28" customHeight="1" x14ac:dyDescent="0.4">
      <c r="A67" s="24" t="s">
        <v>112</v>
      </c>
    </row>
    <row r="68" spans="1:1" ht="28" customHeight="1" x14ac:dyDescent="0.4">
      <c r="A68" s="24" t="s">
        <v>113</v>
      </c>
    </row>
    <row r="69" spans="1:1" ht="28" customHeight="1" x14ac:dyDescent="0.4">
      <c r="A69" s="24" t="s">
        <v>114</v>
      </c>
    </row>
    <row r="70" spans="1:1" ht="28" customHeight="1" x14ac:dyDescent="0.4">
      <c r="A70" s="24" t="s">
        <v>115</v>
      </c>
    </row>
    <row r="71" spans="1:1" ht="28" customHeight="1" x14ac:dyDescent="0.4">
      <c r="A71" s="24" t="s">
        <v>116</v>
      </c>
    </row>
    <row r="72" spans="1:1" ht="28" customHeight="1" x14ac:dyDescent="0.4">
      <c r="A72" s="24" t="s">
        <v>117</v>
      </c>
    </row>
    <row r="73" spans="1:1" ht="28" customHeight="1" x14ac:dyDescent="0.4">
      <c r="A73" s="24" t="s">
        <v>118</v>
      </c>
    </row>
    <row r="74" spans="1:1" ht="28" customHeight="1" x14ac:dyDescent="0.4">
      <c r="A74" s="22" t="s">
        <v>119</v>
      </c>
    </row>
    <row r="75" spans="1:1" x14ac:dyDescent="0.4">
      <c r="A75" s="22"/>
    </row>
    <row r="76" spans="1:1" ht="28" customHeight="1" x14ac:dyDescent="0.4">
      <c r="A76" s="23" t="s">
        <v>121</v>
      </c>
    </row>
    <row r="77" spans="1:1" ht="28" customHeight="1" x14ac:dyDescent="0.4">
      <c r="A77" s="22" t="s">
        <v>145</v>
      </c>
    </row>
    <row r="78" spans="1:1" ht="28" customHeight="1" x14ac:dyDescent="0.4">
      <c r="A78" s="22" t="s">
        <v>146</v>
      </c>
    </row>
    <row r="79" spans="1:1" ht="28" customHeight="1" x14ac:dyDescent="0.4">
      <c r="A79" s="22" t="s">
        <v>147</v>
      </c>
    </row>
    <row r="80" spans="1:1" ht="28" customHeight="1" x14ac:dyDescent="0.4">
      <c r="A80" s="22" t="s">
        <v>148</v>
      </c>
    </row>
    <row r="81" spans="1:1" ht="28" customHeight="1" x14ac:dyDescent="0.4">
      <c r="A81" s="22" t="s">
        <v>149</v>
      </c>
    </row>
    <row r="82" spans="1:1" ht="28" customHeight="1" x14ac:dyDescent="0.4">
      <c r="A82" s="22" t="s">
        <v>155</v>
      </c>
    </row>
    <row r="83" spans="1:1" ht="28" customHeight="1" x14ac:dyDescent="0.4">
      <c r="A83" s="22"/>
    </row>
    <row r="84" spans="1:1" ht="28" customHeight="1" x14ac:dyDescent="0.4">
      <c r="A84" s="23" t="s">
        <v>122</v>
      </c>
    </row>
    <row r="85" spans="1:1" ht="28" customHeight="1" x14ac:dyDescent="0.4">
      <c r="A85" s="22" t="s">
        <v>150</v>
      </c>
    </row>
    <row r="86" spans="1:1" ht="28" customHeight="1" x14ac:dyDescent="0.4">
      <c r="A86" s="22"/>
    </row>
    <row r="87" spans="1:1" ht="28" customHeight="1" x14ac:dyDescent="0.4">
      <c r="A87" s="23" t="s">
        <v>123</v>
      </c>
    </row>
    <row r="88" spans="1:1" ht="102" x14ac:dyDescent="0.4">
      <c r="A88" s="22" t="s">
        <v>151</v>
      </c>
    </row>
    <row r="89" spans="1:1" ht="28" customHeight="1" x14ac:dyDescent="0.4">
      <c r="A89" s="22"/>
    </row>
    <row r="90" spans="1:1" ht="28" customHeight="1" x14ac:dyDescent="0.4">
      <c r="A90" s="23" t="s">
        <v>124</v>
      </c>
    </row>
    <row r="91" spans="1:1" ht="28" customHeight="1" x14ac:dyDescent="0.4">
      <c r="A91" s="22" t="s">
        <v>152</v>
      </c>
    </row>
    <row r="92" spans="1:1" ht="43.75" x14ac:dyDescent="0.4">
      <c r="A92" s="22" t="s">
        <v>156</v>
      </c>
    </row>
    <row r="93" spans="1:1" ht="48.9" customHeight="1" x14ac:dyDescent="0.4">
      <c r="A93" s="22" t="s">
        <v>157</v>
      </c>
    </row>
    <row r="94" spans="1:1" ht="43.75" x14ac:dyDescent="0.4">
      <c r="A94" s="22" t="s">
        <v>158</v>
      </c>
    </row>
    <row r="95" spans="1:1" ht="28" customHeight="1" x14ac:dyDescent="0.4">
      <c r="A95" s="22"/>
    </row>
    <row r="96" spans="1:1" ht="28" customHeight="1" x14ac:dyDescent="0.4">
      <c r="A96" s="23" t="s">
        <v>125</v>
      </c>
    </row>
    <row r="97" spans="1:1" ht="28" customHeight="1" x14ac:dyDescent="0.4">
      <c r="A97" s="22" t="s">
        <v>153</v>
      </c>
    </row>
    <row r="98" spans="1:1" ht="28" customHeight="1" x14ac:dyDescent="0.4">
      <c r="A98" s="22" t="s">
        <v>159</v>
      </c>
    </row>
    <row r="99" spans="1:1" ht="28" customHeight="1" x14ac:dyDescent="0.4">
      <c r="A99" s="23" t="s">
        <v>126</v>
      </c>
    </row>
    <row r="100" spans="1:1" ht="29.15" x14ac:dyDescent="0.4">
      <c r="A100" s="22" t="s">
        <v>154</v>
      </c>
    </row>
    <row r="101" spans="1:1" ht="28" customHeight="1" x14ac:dyDescent="0.4">
      <c r="A101" s="22"/>
    </row>
    <row r="102" spans="1:1" ht="28" customHeight="1" x14ac:dyDescent="0.4">
      <c r="A102" s="23" t="s">
        <v>127</v>
      </c>
    </row>
    <row r="103" spans="1:1" ht="43.75" x14ac:dyDescent="0.4">
      <c r="A103" s="22" t="s">
        <v>160</v>
      </c>
    </row>
    <row r="104" spans="1:1" ht="43.75" x14ac:dyDescent="0.4">
      <c r="A104" s="27" t="s">
        <v>161</v>
      </c>
    </row>
    <row r="106" spans="1:1" ht="28" customHeight="1" x14ac:dyDescent="0.4">
      <c r="A106" s="23" t="s">
        <v>163</v>
      </c>
    </row>
    <row r="107" spans="1:1" ht="58.3" x14ac:dyDescent="0.4">
      <c r="A107" s="27" t="s">
        <v>162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436B3-F8DF-450A-932D-E1E8AA67A777}">
  <sheetPr codeName="Foglio30"/>
  <dimension ref="A1:C49"/>
  <sheetViews>
    <sheetView topLeftCell="A6" zoomScale="60" zoomScaleNormal="60" workbookViewId="0">
      <selection activeCell="C17" sqref="C17"/>
    </sheetView>
  </sheetViews>
  <sheetFormatPr defaultRowHeight="15.9" x14ac:dyDescent="0.45"/>
  <cols>
    <col min="1" max="1" width="62.3828125" style="1" bestFit="1" customWidth="1"/>
    <col min="2" max="2" width="40" style="1" customWidth="1"/>
    <col min="3" max="3" width="123.84375" style="1" customWidth="1"/>
  </cols>
  <sheetData>
    <row r="1" spans="1:3" ht="26.15" x14ac:dyDescent="0.7">
      <c r="A1" s="13" t="s">
        <v>0</v>
      </c>
      <c r="B1" s="14" t="s">
        <v>1</v>
      </c>
      <c r="C1" s="13" t="s">
        <v>2</v>
      </c>
    </row>
    <row r="2" spans="1:3" x14ac:dyDescent="0.45">
      <c r="A2" s="2" t="s">
        <v>62</v>
      </c>
      <c r="B2" s="10" t="s">
        <v>63</v>
      </c>
      <c r="C2" s="2" t="s">
        <v>29</v>
      </c>
    </row>
    <row r="3" spans="1:3" ht="14.9" customHeight="1" x14ac:dyDescent="0.45">
      <c r="A3" s="2" t="s">
        <v>24</v>
      </c>
      <c r="B3" s="10">
        <v>2025</v>
      </c>
      <c r="C3" s="2" t="s">
        <v>29</v>
      </c>
    </row>
    <row r="4" spans="1:3" x14ac:dyDescent="0.45">
      <c r="A4" s="2" t="s">
        <v>25</v>
      </c>
      <c r="B4" s="10" t="s">
        <v>14</v>
      </c>
      <c r="C4" s="2" t="s">
        <v>29</v>
      </c>
    </row>
    <row r="5" spans="1:3" x14ac:dyDescent="0.45">
      <c r="A5" s="2" t="s">
        <v>51</v>
      </c>
      <c r="B5" s="10">
        <v>50</v>
      </c>
      <c r="C5" s="2" t="s">
        <v>3</v>
      </c>
    </row>
    <row r="6" spans="1:3" x14ac:dyDescent="0.45">
      <c r="A6" s="2" t="s">
        <v>52</v>
      </c>
      <c r="B6" s="10">
        <v>60</v>
      </c>
      <c r="C6" s="2" t="s">
        <v>3</v>
      </c>
    </row>
    <row r="7" spans="1:3" x14ac:dyDescent="0.45">
      <c r="A7" s="2" t="s">
        <v>58</v>
      </c>
      <c r="B7" s="10">
        <v>66228</v>
      </c>
      <c r="C7" s="2" t="s">
        <v>53</v>
      </c>
    </row>
    <row r="8" spans="1:3" x14ac:dyDescent="0.45">
      <c r="A8" s="4" t="s">
        <v>4</v>
      </c>
      <c r="B8" s="8" t="s">
        <v>16</v>
      </c>
      <c r="C8" s="31" t="s">
        <v>66</v>
      </c>
    </row>
    <row r="9" spans="1:3" x14ac:dyDescent="0.45">
      <c r="A9" s="4" t="s">
        <v>65</v>
      </c>
      <c r="B9" s="8"/>
      <c r="C9" s="31"/>
    </row>
    <row r="10" spans="1:3" x14ac:dyDescent="0.45">
      <c r="A10" s="4" t="s">
        <v>15</v>
      </c>
      <c r="B10" s="8" t="str">
        <f>IF(B8="default", "Default", IF(B8="manual", B9))</f>
        <v>Default</v>
      </c>
      <c r="C10" s="31"/>
    </row>
    <row r="11" spans="1:3" x14ac:dyDescent="0.45">
      <c r="A11" s="3" t="s">
        <v>26</v>
      </c>
      <c r="B11" s="11">
        <v>0</v>
      </c>
      <c r="C11" s="7" t="s">
        <v>48</v>
      </c>
    </row>
    <row r="12" spans="1:3" x14ac:dyDescent="0.45">
      <c r="A12" s="3" t="s">
        <v>5</v>
      </c>
      <c r="B12" s="11" t="s">
        <v>17</v>
      </c>
      <c r="C12" s="3" t="s">
        <v>29</v>
      </c>
    </row>
    <row r="13" spans="1:3" x14ac:dyDescent="0.45">
      <c r="A13" s="3" t="s">
        <v>45</v>
      </c>
      <c r="B13" s="11">
        <v>110</v>
      </c>
      <c r="C13" s="35" t="s">
        <v>47</v>
      </c>
    </row>
    <row r="14" spans="1:3" x14ac:dyDescent="0.45">
      <c r="A14" s="3" t="s">
        <v>46</v>
      </c>
      <c r="B14" s="11">
        <v>60</v>
      </c>
      <c r="C14" s="35"/>
    </row>
    <row r="15" spans="1:3" x14ac:dyDescent="0.45">
      <c r="A15" s="3" t="s">
        <v>43</v>
      </c>
      <c r="B15" s="11">
        <v>20</v>
      </c>
      <c r="C15" s="35"/>
    </row>
    <row r="16" spans="1:3" x14ac:dyDescent="0.45">
      <c r="A16" s="3" t="s">
        <v>49</v>
      </c>
      <c r="B16" s="11">
        <v>0.15</v>
      </c>
      <c r="C16" s="3" t="s">
        <v>50</v>
      </c>
    </row>
    <row r="17" spans="1:3" x14ac:dyDescent="0.45">
      <c r="A17" s="5" t="s">
        <v>44</v>
      </c>
      <c r="B17" s="16" t="s">
        <v>16</v>
      </c>
      <c r="C17" s="5" t="s">
        <v>64</v>
      </c>
    </row>
    <row r="18" spans="1:3" x14ac:dyDescent="0.45">
      <c r="A18" s="29" t="s">
        <v>23</v>
      </c>
      <c r="B18" s="30"/>
      <c r="C18" s="36" t="s">
        <v>7</v>
      </c>
    </row>
    <row r="19" spans="1:3" x14ac:dyDescent="0.45">
      <c r="A19" s="2" t="s">
        <v>6</v>
      </c>
      <c r="B19" s="10">
        <v>244</v>
      </c>
      <c r="C19" s="36"/>
    </row>
    <row r="20" spans="1:3" x14ac:dyDescent="0.45">
      <c r="A20" s="2" t="s">
        <v>28</v>
      </c>
      <c r="B20" s="10">
        <v>106</v>
      </c>
      <c r="C20" s="36"/>
    </row>
    <row r="21" spans="1:3" x14ac:dyDescent="0.45">
      <c r="A21" s="2" t="s">
        <v>8</v>
      </c>
      <c r="B21" s="10" t="s">
        <v>27</v>
      </c>
      <c r="C21" s="2" t="s">
        <v>29</v>
      </c>
    </row>
    <row r="22" spans="1:3" x14ac:dyDescent="0.45">
      <c r="A22" s="28" t="s">
        <v>22</v>
      </c>
      <c r="B22" s="28"/>
      <c r="C22" s="34" t="s">
        <v>67</v>
      </c>
    </row>
    <row r="23" spans="1:3" x14ac:dyDescent="0.45">
      <c r="A23" s="6" t="s">
        <v>30</v>
      </c>
      <c r="B23" s="12">
        <v>1</v>
      </c>
      <c r="C23" s="34"/>
    </row>
    <row r="24" spans="1:3" x14ac:dyDescent="0.45">
      <c r="A24" s="6" t="s">
        <v>31</v>
      </c>
      <c r="B24" s="12">
        <v>0</v>
      </c>
      <c r="C24" s="34"/>
    </row>
    <row r="25" spans="1:3" x14ac:dyDescent="0.45">
      <c r="A25" s="6" t="s">
        <v>55</v>
      </c>
      <c r="B25" s="12">
        <v>0</v>
      </c>
      <c r="C25" s="34"/>
    </row>
    <row r="26" spans="1:3" x14ac:dyDescent="0.45">
      <c r="A26" s="6" t="s">
        <v>56</v>
      </c>
      <c r="B26" s="12">
        <v>0</v>
      </c>
      <c r="C26" s="34"/>
    </row>
    <row r="27" spans="1:3" x14ac:dyDescent="0.45">
      <c r="A27" s="6" t="s">
        <v>57</v>
      </c>
      <c r="B27" s="12">
        <v>0</v>
      </c>
      <c r="C27" s="34"/>
    </row>
    <row r="28" spans="1:3" hidden="1" x14ac:dyDescent="0.45">
      <c r="A28" s="17" t="s">
        <v>32</v>
      </c>
      <c r="B28" s="9">
        <f>IF((B25+B26+B27)&lt;=1,(B25+B26+B27),"ERRORE")</f>
        <v>0</v>
      </c>
      <c r="C28" s="15" t="s">
        <v>54</v>
      </c>
    </row>
    <row r="29" spans="1:3" x14ac:dyDescent="0.45">
      <c r="A29" s="32" t="s">
        <v>21</v>
      </c>
      <c r="B29" s="33"/>
      <c r="C29" s="37" t="s">
        <v>9</v>
      </c>
    </row>
    <row r="30" spans="1:3" x14ac:dyDescent="0.45">
      <c r="A30" s="4" t="s">
        <v>19</v>
      </c>
      <c r="B30" s="8">
        <v>0</v>
      </c>
      <c r="C30" s="37"/>
    </row>
    <row r="31" spans="1:3" x14ac:dyDescent="0.45">
      <c r="A31" s="4" t="s">
        <v>10</v>
      </c>
      <c r="B31" s="8">
        <v>0</v>
      </c>
      <c r="C31" s="37"/>
    </row>
    <row r="32" spans="1:3" x14ac:dyDescent="0.45">
      <c r="A32" s="4" t="s">
        <v>11</v>
      </c>
      <c r="B32" s="8">
        <v>0</v>
      </c>
      <c r="C32" s="37"/>
    </row>
    <row r="33" spans="1:3" x14ac:dyDescent="0.45">
      <c r="A33" s="4" t="s">
        <v>38</v>
      </c>
      <c r="B33" s="8">
        <v>0</v>
      </c>
      <c r="C33" s="37"/>
    </row>
    <row r="34" spans="1:3" x14ac:dyDescent="0.45">
      <c r="A34" s="4" t="s">
        <v>39</v>
      </c>
      <c r="B34" s="8">
        <v>0</v>
      </c>
      <c r="C34" s="37"/>
    </row>
    <row r="35" spans="1:3" x14ac:dyDescent="0.45">
      <c r="A35" s="4" t="s">
        <v>40</v>
      </c>
      <c r="B35" s="8">
        <v>0</v>
      </c>
      <c r="C35" s="37"/>
    </row>
    <row r="36" spans="1:3" x14ac:dyDescent="0.45">
      <c r="A36" s="4" t="s">
        <v>41</v>
      </c>
      <c r="B36" s="8">
        <v>0</v>
      </c>
      <c r="C36" s="37"/>
    </row>
    <row r="37" spans="1:3" x14ac:dyDescent="0.45">
      <c r="A37" s="18" t="s">
        <v>42</v>
      </c>
      <c r="B37" s="8">
        <v>0</v>
      </c>
      <c r="C37" s="37"/>
    </row>
    <row r="38" spans="1:3" x14ac:dyDescent="0.45">
      <c r="A38" s="4" t="s">
        <v>33</v>
      </c>
      <c r="B38" s="8">
        <v>0</v>
      </c>
      <c r="C38" s="37"/>
    </row>
    <row r="39" spans="1:3" x14ac:dyDescent="0.45">
      <c r="A39" s="4" t="s">
        <v>61</v>
      </c>
      <c r="B39" s="8">
        <v>0</v>
      </c>
      <c r="C39" s="37"/>
    </row>
    <row r="40" spans="1:3" x14ac:dyDescent="0.45">
      <c r="A40" s="4" t="s">
        <v>34</v>
      </c>
      <c r="B40" s="8">
        <v>0</v>
      </c>
      <c r="C40" s="37"/>
    </row>
    <row r="41" spans="1:3" x14ac:dyDescent="0.45">
      <c r="A41" s="4" t="s">
        <v>20</v>
      </c>
      <c r="B41" s="8">
        <v>0</v>
      </c>
      <c r="C41" s="37"/>
    </row>
    <row r="42" spans="1:3" x14ac:dyDescent="0.45">
      <c r="A42" s="4" t="s">
        <v>35</v>
      </c>
      <c r="B42" s="8">
        <v>0</v>
      </c>
      <c r="C42" s="37"/>
    </row>
    <row r="43" spans="1:3" x14ac:dyDescent="0.45">
      <c r="A43" s="4" t="s">
        <v>12</v>
      </c>
      <c r="B43" s="8">
        <v>0</v>
      </c>
      <c r="C43" s="37"/>
    </row>
    <row r="44" spans="1:3" x14ac:dyDescent="0.45">
      <c r="A44" s="4" t="s">
        <v>13</v>
      </c>
      <c r="B44" s="8">
        <v>0</v>
      </c>
      <c r="C44" s="37"/>
    </row>
    <row r="45" spans="1:3" x14ac:dyDescent="0.45">
      <c r="A45" s="4" t="s">
        <v>18</v>
      </c>
      <c r="B45" s="8">
        <v>0</v>
      </c>
      <c r="C45" s="37"/>
    </row>
    <row r="46" spans="1:3" x14ac:dyDescent="0.45">
      <c r="A46" s="4" t="s">
        <v>36</v>
      </c>
      <c r="B46" s="8">
        <v>0</v>
      </c>
      <c r="C46" s="37"/>
    </row>
    <row r="47" spans="1:3" x14ac:dyDescent="0.45">
      <c r="A47" s="4" t="s">
        <v>37</v>
      </c>
      <c r="B47" s="8">
        <v>0</v>
      </c>
      <c r="C47" s="37"/>
    </row>
    <row r="48" spans="1:3" x14ac:dyDescent="0.45">
      <c r="A48" s="4" t="s">
        <v>59</v>
      </c>
      <c r="B48" s="8">
        <v>0</v>
      </c>
      <c r="C48" s="37"/>
    </row>
    <row r="49" spans="1:3" x14ac:dyDescent="0.45">
      <c r="A49" s="4" t="s">
        <v>60</v>
      </c>
      <c r="B49" s="8">
        <v>0</v>
      </c>
      <c r="C49" s="37"/>
    </row>
  </sheetData>
  <mergeCells count="8">
    <mergeCell ref="A22:B22"/>
    <mergeCell ref="A18:B18"/>
    <mergeCell ref="C8:C10"/>
    <mergeCell ref="A29:B29"/>
    <mergeCell ref="C22:C27"/>
    <mergeCell ref="C13:C15"/>
    <mergeCell ref="C18:C20"/>
    <mergeCell ref="C29:C49"/>
  </mergeCells>
  <dataValidations count="7">
    <dataValidation type="list" allowBlank="1" showInputMessage="1" showErrorMessage="1" sqref="B3" xr:uid="{A2E27561-880F-4C2D-A510-906490609365}">
      <formula1>"2025, 2030, 2035, 2040, 2050"</formula1>
    </dataValidation>
    <dataValidation type="list" allowBlank="1" showInputMessage="1" showErrorMessage="1" sqref="B4" xr:uid="{132208C2-8D11-4765-9A2E-C83CEFD08AB5}">
      <formula1>"3rd generation,4th generation,5th generation"</formula1>
    </dataValidation>
    <dataValidation type="list" allowBlank="1" showInputMessage="1" showErrorMessage="1" sqref="B17" xr:uid="{2A6891D1-B2DA-4F78-A3DB-3C8A5B54267E}">
      <formula1>"Default, Power bonus method"</formula1>
    </dataValidation>
    <dataValidation type="list" allowBlank="1" showInputMessage="1" showErrorMessage="1" sqref="B12" xr:uid="{9572888D-A0B5-4A5D-99BD-9629DC09B4B7}">
      <formula1>"Steel - rockwool - stainless steel, Steel - PU foam - PEHD, PE - PE foam - PEHD, PE - PU foam - PEHD, PP - PU foam - PVC"</formula1>
    </dataValidation>
    <dataValidation type="list" allowBlank="1" showInputMessage="1" showErrorMessage="1" sqref="B21" xr:uid="{521BB799-2D0E-47A6-AB98-E68DA37AA741}">
      <formula1>"High temperature terminals, Average temperature terminals, Low temperature terminals"</formula1>
    </dataValidation>
    <dataValidation type="list" allowBlank="1" showInputMessage="1" showErrorMessage="1" sqref="B8" xr:uid="{EBCABFA5-A43C-44ED-A086-B073C1AD885A}">
      <formula1>"Default, Manual"</formula1>
    </dataValidation>
    <dataValidation type="list" allowBlank="1" showInputMessage="1" showErrorMessage="1" sqref="B2" xr:uid="{1929DFF7-7167-4DA8-A62B-F0E6CF506217}">
      <formula1>"Heating, Cooling"</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liminaFogliCreati.EliminaFogliCreati">
                <anchor moveWithCells="1">
                  <from>
                    <xdr:col>4</xdr:col>
                    <xdr:colOff>27214</xdr:colOff>
                    <xdr:row>33</xdr:row>
                    <xdr:rowOff>97971</xdr:rowOff>
                  </from>
                  <to>
                    <xdr:col>5</xdr:col>
                    <xdr:colOff>560614</xdr:colOff>
                    <xdr:row>34</xdr:row>
                    <xdr:rowOff>97971</xdr:rowOff>
                  </to>
                </anchor>
              </controlPr>
            </control>
          </mc:Choice>
        </mc:AlternateContent>
        <mc:AlternateContent xmlns:mc="http://schemas.openxmlformats.org/markup-compatibility/2006">
          <mc:Choice Requires="x14">
            <control shapeId="1027" r:id="rId5" name="Button 3">
              <controlPr defaultSize="0" print="0" autoFill="0" autoPict="0" macro="[0]!CreaFogli.CreaFogli">
                <anchor moveWithCells="1">
                  <from>
                    <xdr:col>4</xdr:col>
                    <xdr:colOff>27214</xdr:colOff>
                    <xdr:row>30</xdr:row>
                    <xdr:rowOff>0</xdr:rowOff>
                  </from>
                  <to>
                    <xdr:col>5</xdr:col>
                    <xdr:colOff>571500</xdr:colOff>
                    <xdr:row>32</xdr:row>
                    <xdr:rowOff>27214</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99BC39A92A5054A91E7110C3163003E" ma:contentTypeVersion="17" ma:contentTypeDescription="Creare un nuovo documento." ma:contentTypeScope="" ma:versionID="eb67ed34d3486f6789c962ac5dac0f51">
  <xsd:schema xmlns:xsd="http://www.w3.org/2001/XMLSchema" xmlns:xs="http://www.w3.org/2001/XMLSchema" xmlns:p="http://schemas.microsoft.com/office/2006/metadata/properties" xmlns:ns2="9f5fad6e-ef09-40f7-9d86-d453df335b7b" xmlns:ns3="c319d79e-6821-4c2a-8db8-88a02643e5e3" targetNamespace="http://schemas.microsoft.com/office/2006/metadata/properties" ma:root="true" ma:fieldsID="4af8d01f9a62a1cc06a55fa3d0ce32aa" ns2:_="" ns3:_="">
    <xsd:import namespace="9f5fad6e-ef09-40f7-9d86-d453df335b7b"/>
    <xsd:import namespace="c319d79e-6821-4c2a-8db8-88a02643e5e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5fad6e-ef09-40f7-9d86-d453df335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Tag immagine" ma:readOnly="false" ma:fieldId="{5cf76f15-5ced-4ddc-b409-7134ff3c332f}" ma:taxonomyMulti="true" ma:sspId="62691f12-1220-44b1-ba48-e77f64da29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19d79e-6821-4c2a-8db8-88a02643e5e3"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33088f5-1065-42d3-bd54-93f61e303421}" ma:internalName="TaxCatchAll" ma:showField="CatchAllData" ma:web="c319d79e-6821-4c2a-8db8-88a02643e5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319d79e-6821-4c2a-8db8-88a02643e5e3" xsi:nil="true"/>
    <lcf76f155ced4ddcb4097134ff3c332f xmlns="9f5fad6e-ef09-40f7-9d86-d453df335b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9F07D9E-B4D6-46D3-9D98-316FDFFBCA46}">
  <ds:schemaRefs>
    <ds:schemaRef ds:uri="http://schemas.microsoft.com/sharepoint/v3/contenttype/forms"/>
  </ds:schemaRefs>
</ds:datastoreItem>
</file>

<file path=customXml/itemProps2.xml><?xml version="1.0" encoding="utf-8"?>
<ds:datastoreItem xmlns:ds="http://schemas.openxmlformats.org/officeDocument/2006/customXml" ds:itemID="{188BB9C8-B25F-4BFF-B478-B9BE76819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5fad6e-ef09-40f7-9d86-d453df335b7b"/>
    <ds:schemaRef ds:uri="c319d79e-6821-4c2a-8db8-88a02643e5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A2B9794-62C5-4AF4-A4B9-535C89F7391B}">
  <ds:schemaRefs>
    <ds:schemaRef ds:uri="9f5fad6e-ef09-40f7-9d86-d453df335b7b"/>
    <ds:schemaRef ds:uri="http://purl.org/dc/dcmitype/"/>
    <ds:schemaRef ds:uri="http://purl.org/dc/terms/"/>
    <ds:schemaRef ds:uri="c319d79e-6821-4c2a-8db8-88a02643e5e3"/>
    <ds:schemaRef ds:uri="http://purl.org/dc/elements/1.1/"/>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3</vt:i4>
      </vt:variant>
    </vt:vector>
  </HeadingPairs>
  <TitlesOfParts>
    <vt:vector size="3" baseType="lpstr">
      <vt:lpstr>LICENCE</vt:lpstr>
      <vt:lpstr>README</vt:lpstr>
      <vt:lpstr>generatorsConfig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Autelitano</dc:creator>
  <cp:keywords/>
  <dc:description/>
  <cp:lastModifiedBy>Kevin Autelitano</cp:lastModifiedBy>
  <cp:revision/>
  <cp:lastPrinted>2024-11-26T09:35:16Z</cp:lastPrinted>
  <dcterms:created xsi:type="dcterms:W3CDTF">2024-06-07T09:07:33Z</dcterms:created>
  <dcterms:modified xsi:type="dcterms:W3CDTF">2026-02-11T16:45:35Z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0x010100199BC39A92A5054A91E7110C3163003E</vt:lpwstr>
  </property>
  <property fmtid="{D5CDD505-2E9C-101B-9397-08002B2CF9AE}" pid="3" name="MediaServiceImageTags">
    <vt:lpwstr/>
  </property>
</Properties>
</file>